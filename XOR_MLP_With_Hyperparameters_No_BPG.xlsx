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ogesh.Chaudhari\Downloads\"/>
    </mc:Choice>
  </mc:AlternateContent>
  <xr:revisionPtr revIDLastSave="0" documentId="13_ncr:1_{E18B4029-DB48-45EB-83C3-FD4A393ECE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XOR_MLP_Fix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H21" i="1"/>
  <c r="F21" i="1"/>
  <c r="G21" i="1" s="1"/>
  <c r="J21" i="1" s="1"/>
  <c r="K21" i="1" s="1"/>
  <c r="L21" i="1" s="1"/>
  <c r="H20" i="1"/>
  <c r="I20" i="1" s="1"/>
  <c r="J20" i="1" s="1"/>
  <c r="K20" i="1" s="1"/>
  <c r="L20" i="1" s="1"/>
  <c r="G20" i="1"/>
  <c r="F20" i="1"/>
  <c r="H19" i="1"/>
  <c r="I19" i="1" s="1"/>
  <c r="G19" i="1"/>
  <c r="J19" i="1" s="1"/>
  <c r="K19" i="1" s="1"/>
  <c r="L19" i="1" s="1"/>
  <c r="F19" i="1"/>
  <c r="H18" i="1"/>
  <c r="I18" i="1" s="1"/>
  <c r="F18" i="1"/>
  <c r="G18" i="1" s="1"/>
  <c r="J18" i="1" l="1"/>
  <c r="K18" i="1" s="1"/>
  <c r="L18" i="1" s="1"/>
</calcChain>
</file>

<file path=xl/sharedStrings.xml><?xml version="1.0" encoding="utf-8"?>
<sst xmlns="http://schemas.openxmlformats.org/spreadsheetml/2006/main" count="60" uniqueCount="60">
  <si>
    <t>Multi-Layer Perceptron (MLP) - XOR Problem (Fixed Weights)</t>
  </si>
  <si>
    <t>1. Hyperparameters &amp; Network Weights</t>
  </si>
  <si>
    <t>Parameter</t>
  </si>
  <si>
    <t>Symbol</t>
  </si>
  <si>
    <t>Excel Cell Ref</t>
  </si>
  <si>
    <t>Value</t>
  </si>
  <si>
    <t>Description</t>
  </si>
  <si>
    <t>Learning Rate</t>
  </si>
  <si>
    <t>eta</t>
  </si>
  <si>
    <t>D5</t>
  </si>
  <si>
    <t>Learning rate (for backpropagation reference)</t>
  </si>
  <si>
    <t>Hidden 1 Weight 1</t>
  </si>
  <si>
    <t>w11</t>
  </si>
  <si>
    <t>D6</t>
  </si>
  <si>
    <t>Weight from x1 to Hidden Neuron 1 (OR logic)</t>
  </si>
  <si>
    <t>Hidden 1 Weight 2</t>
  </si>
  <si>
    <t>w21</t>
  </si>
  <si>
    <t>D7</t>
  </si>
  <si>
    <t>Weight from x2 to Hidden Neuron 1 (OR logic)</t>
  </si>
  <si>
    <t>Hidden 1 Bias</t>
  </si>
  <si>
    <t>b_h1</t>
  </si>
  <si>
    <t>D8</t>
  </si>
  <si>
    <t>Bias for Hidden Neuron 1</t>
  </si>
  <si>
    <t>Hidden 2 Weight 1</t>
  </si>
  <si>
    <t>w12</t>
  </si>
  <si>
    <t>D9</t>
  </si>
  <si>
    <t>Weight from x1 to Hidden Neuron 2 (NAND logic)</t>
  </si>
  <si>
    <t>Hidden 2 Weight 2</t>
  </si>
  <si>
    <t>w22</t>
  </si>
  <si>
    <t>D10</t>
  </si>
  <si>
    <t>Weight from x2 to Hidden Neuron 2 (NAND logic)</t>
  </si>
  <si>
    <t>Hidden 2 Bias</t>
  </si>
  <si>
    <t>b_h2</t>
  </si>
  <si>
    <t>D11</t>
  </si>
  <si>
    <t>Bias for Hidden Neuron 2</t>
  </si>
  <si>
    <t>Output Weight 1</t>
  </si>
  <si>
    <t>v1</t>
  </si>
  <si>
    <t>D12</t>
  </si>
  <si>
    <t>Weight from h1 to Output Neuron (AND logic)</t>
  </si>
  <si>
    <t>Output Weight 2</t>
  </si>
  <si>
    <t>v2</t>
  </si>
  <si>
    <t>D13</t>
  </si>
  <si>
    <t>Weight from h2 to Output Neuron (AND logic)</t>
  </si>
  <si>
    <t>Output Bias</t>
  </si>
  <si>
    <t>b_y</t>
  </si>
  <si>
    <t>D14</t>
  </si>
  <si>
    <t>Bias for Output Neuron</t>
  </si>
  <si>
    <t>2. Forward Pass Calculation Table</t>
  </si>
  <si>
    <t>Epoch</t>
  </si>
  <si>
    <t>Iter</t>
  </si>
  <si>
    <t>x1</t>
  </si>
  <si>
    <t>x2</t>
  </si>
  <si>
    <t>Target</t>
  </si>
  <si>
    <t>z_h1 (OR)</t>
  </si>
  <si>
    <t>h1</t>
  </si>
  <si>
    <t>z_h2 (NAND)</t>
  </si>
  <si>
    <t>h2</t>
  </si>
  <si>
    <t>z_y (AND)</t>
  </si>
  <si>
    <t>Pred (y_hat)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</si>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</sst>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1F4E79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0" fontId="5" fillId="3" borderId="1" xfId="0" applyFont="1" applyFill="1" applyBorder="1" applyAlignment="1">
      <alignment horizontal="right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A3" workbookViewId="0">
      <selection activeCell="J12" sqref="J12"/>
    </sheetView>
  </sheetViews>
  <sheetFormatPr defaultColWidth="14.5703125" defaultRowHeight="15" x14ac:dyDescent="0.25"/>
  <cols>
    <col min="1" max="1" width="15.5703125" bestFit="1" customWidth="1"/>
  </cols>
  <sheetData>
    <row r="1" spans="1:10" ht="18.75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x14ac:dyDescent="0.25">
      <c r="A3" s="8" t="s">
        <v>1</v>
      </c>
      <c r="B3" s="8"/>
      <c r="C3" s="8"/>
      <c r="D3" s="8"/>
    </row>
    <row r="4" spans="1:10" x14ac:dyDescent="0.25">
      <c r="A4" s="1" t="s">
        <v>2</v>
      </c>
      <c r="B4" s="1" t="s">
        <v>3</v>
      </c>
      <c r="C4" s="1" t="s">
        <v>4</v>
      </c>
      <c r="D4" s="1" t="s">
        <v>5</v>
      </c>
      <c r="E4" s="12" t="s">
        <v>6</v>
      </c>
      <c r="F4" s="12"/>
      <c r="G4" s="12"/>
      <c r="H4" s="12"/>
    </row>
    <row r="5" spans="1:10" x14ac:dyDescent="0.25">
      <c r="A5" s="2" t="s">
        <v>7</v>
      </c>
      <c r="B5" s="3" t="s">
        <v>8</v>
      </c>
      <c r="C5" s="2" t="s">
        <v>9</v>
      </c>
      <c r="D5" s="4">
        <v>0.5</v>
      </c>
      <c r="E5" s="9" t="s">
        <v>10</v>
      </c>
      <c r="F5" s="10"/>
      <c r="G5" s="10"/>
      <c r="H5" s="10"/>
    </row>
    <row r="6" spans="1:10" x14ac:dyDescent="0.25">
      <c r="A6" s="2" t="s">
        <v>11</v>
      </c>
      <c r="B6" s="3" t="s">
        <v>12</v>
      </c>
      <c r="C6" s="2" t="s">
        <v>13</v>
      </c>
      <c r="D6" s="4">
        <v>1</v>
      </c>
      <c r="E6" s="9" t="s">
        <v>14</v>
      </c>
      <c r="F6" s="10"/>
      <c r="G6" s="10"/>
      <c r="H6" s="10"/>
    </row>
    <row r="7" spans="1:10" x14ac:dyDescent="0.25">
      <c r="A7" s="2" t="s">
        <v>15</v>
      </c>
      <c r="B7" s="3" t="s">
        <v>16</v>
      </c>
      <c r="C7" s="2" t="s">
        <v>17</v>
      </c>
      <c r="D7" s="4">
        <v>1</v>
      </c>
      <c r="E7" s="9" t="s">
        <v>18</v>
      </c>
      <c r="F7" s="10"/>
      <c r="G7" s="10"/>
      <c r="H7" s="10"/>
    </row>
    <row r="8" spans="1:10" x14ac:dyDescent="0.25">
      <c r="A8" s="2" t="s">
        <v>19</v>
      </c>
      <c r="B8" s="3" t="s">
        <v>20</v>
      </c>
      <c r="C8" s="2" t="s">
        <v>21</v>
      </c>
      <c r="D8" s="4">
        <v>-0.5</v>
      </c>
      <c r="E8" s="9" t="s">
        <v>22</v>
      </c>
      <c r="F8" s="10"/>
      <c r="G8" s="10"/>
      <c r="H8" s="10"/>
    </row>
    <row r="9" spans="1:10" x14ac:dyDescent="0.25">
      <c r="A9" s="2" t="s">
        <v>23</v>
      </c>
      <c r="B9" s="3" t="s">
        <v>24</v>
      </c>
      <c r="C9" s="2" t="s">
        <v>25</v>
      </c>
      <c r="D9" s="4">
        <v>-1</v>
      </c>
      <c r="E9" s="9" t="s">
        <v>26</v>
      </c>
      <c r="F9" s="10"/>
      <c r="G9" s="10"/>
      <c r="H9" s="10"/>
    </row>
    <row r="10" spans="1:10" x14ac:dyDescent="0.25">
      <c r="A10" s="2" t="s">
        <v>27</v>
      </c>
      <c r="B10" s="3" t="s">
        <v>28</v>
      </c>
      <c r="C10" s="2" t="s">
        <v>29</v>
      </c>
      <c r="D10" s="4">
        <v>-1</v>
      </c>
      <c r="E10" s="9" t="s">
        <v>30</v>
      </c>
      <c r="F10" s="10"/>
      <c r="G10" s="10"/>
      <c r="H10" s="10"/>
    </row>
    <row r="11" spans="1:10" x14ac:dyDescent="0.25">
      <c r="A11" s="2" t="s">
        <v>31</v>
      </c>
      <c r="B11" s="3" t="s">
        <v>32</v>
      </c>
      <c r="C11" s="2" t="s">
        <v>33</v>
      </c>
      <c r="D11" s="4">
        <v>1.5</v>
      </c>
      <c r="E11" s="9" t="s">
        <v>34</v>
      </c>
      <c r="F11" s="10"/>
      <c r="G11" s="10"/>
      <c r="H11" s="10"/>
    </row>
    <row r="12" spans="1:10" x14ac:dyDescent="0.25">
      <c r="A12" s="2" t="s">
        <v>35</v>
      </c>
      <c r="B12" s="3" t="s">
        <v>36</v>
      </c>
      <c r="C12" s="2" t="s">
        <v>37</v>
      </c>
      <c r="D12" s="4">
        <v>1</v>
      </c>
      <c r="E12" s="9" t="s">
        <v>38</v>
      </c>
      <c r="F12" s="10"/>
      <c r="G12" s="10"/>
      <c r="H12" s="10"/>
    </row>
    <row r="13" spans="1:10" x14ac:dyDescent="0.25">
      <c r="A13" s="2" t="s">
        <v>39</v>
      </c>
      <c r="B13" s="3" t="s">
        <v>40</v>
      </c>
      <c r="C13" s="2" t="s">
        <v>41</v>
      </c>
      <c r="D13" s="4">
        <v>1</v>
      </c>
      <c r="E13" s="9" t="s">
        <v>42</v>
      </c>
      <c r="F13" s="10"/>
      <c r="G13" s="10"/>
      <c r="H13" s="10"/>
    </row>
    <row r="14" spans="1:10" x14ac:dyDescent="0.25">
      <c r="A14" s="2" t="s">
        <v>43</v>
      </c>
      <c r="B14" s="3" t="s">
        <v>44</v>
      </c>
      <c r="C14" s="2" t="s">
        <v>45</v>
      </c>
      <c r="D14" s="4">
        <v>-1.5</v>
      </c>
      <c r="E14" s="9" t="s">
        <v>46</v>
      </c>
      <c r="F14" s="10"/>
      <c r="G14" s="10"/>
      <c r="H14" s="10"/>
    </row>
    <row r="16" spans="1:10" x14ac:dyDescent="0.25">
      <c r="A16" s="8" t="s">
        <v>47</v>
      </c>
      <c r="B16" s="8"/>
      <c r="C16" s="8"/>
      <c r="D16" s="8"/>
    </row>
    <row r="17" spans="1:12" x14ac:dyDescent="0.25">
      <c r="A17" s="5" t="s">
        <v>48</v>
      </c>
      <c r="B17" s="5" t="s">
        <v>49</v>
      </c>
      <c r="C17" s="5" t="s">
        <v>50</v>
      </c>
      <c r="D17" s="5" t="s">
        <v>51</v>
      </c>
      <c r="E17" s="5" t="s">
        <v>52</v>
      </c>
      <c r="F17" s="5" t="s">
        <v>53</v>
      </c>
      <c r="G17" s="5" t="s">
        <v>54</v>
      </c>
      <c r="H17" s="5" t="s">
        <v>55</v>
      </c>
      <c r="I17" s="5" t="s">
        <v>56</v>
      </c>
      <c r="J17" s="5" t="s">
        <v>57</v>
      </c>
      <c r="K17" s="5" t="s">
        <v>58</v>
      </c>
      <c r="L17" s="5" t="s">
        <v>59</v>
      </c>
    </row>
    <row r="18" spans="1:12" x14ac:dyDescent="0.25">
      <c r="A18" s="6">
        <v>1</v>
      </c>
      <c r="B18" s="6">
        <v>1</v>
      </c>
      <c r="C18" s="6">
        <v>0</v>
      </c>
      <c r="D18" s="6">
        <v>0</v>
      </c>
      <c r="E18" s="6">
        <v>0</v>
      </c>
      <c r="F18" s="7">
        <f>$D$6*C18+$D$7*D18+$D$8</f>
        <v>-0.5</v>
      </c>
      <c r="G18" s="7">
        <f>IF(F18&gt;=0,1,0)</f>
        <v>0</v>
      </c>
      <c r="H18" s="7">
        <f>$D$9*C18+$D$10*D18+$D$11</f>
        <v>1.5</v>
      </c>
      <c r="I18" s="7">
        <f>IF(H18&gt;=0,1,0)</f>
        <v>1</v>
      </c>
      <c r="J18" s="7">
        <f>$D$12*G18+$D$13*I18+$D$14</f>
        <v>-0.5</v>
      </c>
      <c r="K18" s="7">
        <f>IF(J18&gt;=0,1,0)</f>
        <v>0</v>
      </c>
      <c r="L18" s="7">
        <f>E18-K18</f>
        <v>0</v>
      </c>
    </row>
    <row r="19" spans="1:12" x14ac:dyDescent="0.25">
      <c r="A19" s="6">
        <v>1</v>
      </c>
      <c r="B19" s="6">
        <v>2</v>
      </c>
      <c r="C19" s="6">
        <v>0</v>
      </c>
      <c r="D19" s="6">
        <v>1</v>
      </c>
      <c r="E19" s="6">
        <v>1</v>
      </c>
      <c r="F19" s="7">
        <f>$D$6*C19+$D$7*D19+$D$8</f>
        <v>0.5</v>
      </c>
      <c r="G19" s="7">
        <f>IF(F19&gt;=0,1,0)</f>
        <v>1</v>
      </c>
      <c r="H19" s="7">
        <f>$D$9*C19+$D$10*D19+$D$11</f>
        <v>0.5</v>
      </c>
      <c r="I19" s="7">
        <f>IF(H19&gt;=0,1,0)</f>
        <v>1</v>
      </c>
      <c r="J19" s="7">
        <f>$D$12*G19+$D$13*I19+$D$14</f>
        <v>0.5</v>
      </c>
      <c r="K19" s="7">
        <f>IF(J19&gt;=0,1,0)</f>
        <v>1</v>
      </c>
      <c r="L19" s="7">
        <f>E19-K19</f>
        <v>0</v>
      </c>
    </row>
    <row r="20" spans="1:12" x14ac:dyDescent="0.25">
      <c r="A20" s="6">
        <v>1</v>
      </c>
      <c r="B20" s="6">
        <v>3</v>
      </c>
      <c r="C20" s="6">
        <v>1</v>
      </c>
      <c r="D20" s="6">
        <v>0</v>
      </c>
      <c r="E20" s="6">
        <v>1</v>
      </c>
      <c r="F20" s="7">
        <f>$D$6*C20+$D$7*D20+$D$8</f>
        <v>0.5</v>
      </c>
      <c r="G20" s="7">
        <f>IF(F20&gt;=0,1,0)</f>
        <v>1</v>
      </c>
      <c r="H20" s="7">
        <f>$D$9*C20+$D$10*D20+$D$11</f>
        <v>0.5</v>
      </c>
      <c r="I20" s="7">
        <f>IF(H20&gt;=0,1,0)</f>
        <v>1</v>
      </c>
      <c r="J20" s="7">
        <f>$D$12*G20+$D$13*I20+$D$14</f>
        <v>0.5</v>
      </c>
      <c r="K20" s="7">
        <f>IF(J20&gt;=0,1,0)</f>
        <v>1</v>
      </c>
      <c r="L20" s="7">
        <f>E20-K20</f>
        <v>0</v>
      </c>
    </row>
    <row r="21" spans="1:12" x14ac:dyDescent="0.25">
      <c r="A21" s="6">
        <v>1</v>
      </c>
      <c r="B21" s="6">
        <v>4</v>
      </c>
      <c r="C21" s="6">
        <v>1</v>
      </c>
      <c r="D21" s="6">
        <v>1</v>
      </c>
      <c r="E21" s="6">
        <v>0</v>
      </c>
      <c r="F21" s="7">
        <f>$D$6*C21+$D$7*D21+$D$8</f>
        <v>1.5</v>
      </c>
      <c r="G21" s="7">
        <f>IF(F21&gt;=0,1,0)</f>
        <v>1</v>
      </c>
      <c r="H21" s="7">
        <f>$D$9*C21+$D$10*D21+$D$11</f>
        <v>-0.5</v>
      </c>
      <c r="I21" s="7">
        <f>IF(H21&gt;=0,1,0)</f>
        <v>0</v>
      </c>
      <c r="J21" s="7">
        <f>$D$12*G21+$D$13*I21+$D$14</f>
        <v>-0.5</v>
      </c>
      <c r="K21" s="7">
        <f>IF(J21&gt;=0,1,0)</f>
        <v>0</v>
      </c>
      <c r="L21" s="7">
        <f>E21-K21</f>
        <v>0</v>
      </c>
    </row>
  </sheetData>
  <mergeCells count="14">
    <mergeCell ref="A1:J1"/>
    <mergeCell ref="E4:H4"/>
    <mergeCell ref="E5:H5"/>
    <mergeCell ref="E6:H6"/>
    <mergeCell ref="E7:H7"/>
    <mergeCell ref="A16:D16"/>
    <mergeCell ref="A3:D3"/>
    <mergeCell ref="E10:H10"/>
    <mergeCell ref="E11:H11"/>
    <mergeCell ref="E12:H12"/>
    <mergeCell ref="E13:H13"/>
    <mergeCell ref="E14:H14"/>
    <mergeCell ref="E8:H8"/>
    <mergeCell ref="E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XOR_MLP_Fixed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yogeshc@nuv.ac.in</dc:creator>
  <cp:lastModifiedBy>Yogesh Chaudhari</cp:lastModifiedBy>
  <dcterms:created xsi:type="dcterms:W3CDTF">2026-09-03T18:29:10Z</dcterms:created>
  <dcterms:modified xsi:type="dcterms:W3CDTF">2026-09-10T05:57:07Z</dcterms:modified>
</cp:coreProperties>
</file>