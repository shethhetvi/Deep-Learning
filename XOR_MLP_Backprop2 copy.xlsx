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gesh.Chaudhari\"/>
    </mc:Choice>
  </mc:AlternateContent>
  <xr:revisionPtr revIDLastSave="0" documentId="13_ncr:1_{3637B8C1-B7E7-45E1-924A-751FAB6A7D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_xlnm._FilterDatabase" localSheetId="0" hidden="1">Sheet1!$A$1:$AJ$217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2" l="1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N18" i="2"/>
  <c r="M18" i="2"/>
  <c r="L18" i="2"/>
  <c r="K18" i="2"/>
  <c r="J18" i="2"/>
  <c r="I18" i="2"/>
  <c r="H18" i="2"/>
  <c r="G18" i="2"/>
  <c r="F18" i="2"/>
  <c r="O18" i="2" l="1"/>
  <c r="P18" i="2" s="1"/>
  <c r="Q18" i="2"/>
  <c r="R18" i="2" s="1"/>
  <c r="S18" i="2" s="1"/>
  <c r="T18" i="2" s="1"/>
  <c r="V18" i="2" l="1"/>
  <c r="Y18" i="2" s="1"/>
  <c r="U18" i="2"/>
  <c r="W18" i="2" l="1"/>
  <c r="AH18" i="2"/>
  <c r="L19" i="2" s="1"/>
  <c r="AI18" i="2"/>
  <c r="M19" i="2" s="1"/>
  <c r="Z18" i="2"/>
  <c r="AA18" i="2"/>
  <c r="AJ18" i="2"/>
  <c r="N19" i="2" s="1"/>
  <c r="AC18" i="2" l="1"/>
  <c r="G19" i="2" s="1"/>
  <c r="AD18" i="2"/>
  <c r="H19" i="2" s="1"/>
  <c r="AB18" i="2"/>
  <c r="F19" i="2" s="1"/>
  <c r="AE18" i="2"/>
  <c r="I19" i="2" s="1"/>
  <c r="AG18" i="2"/>
  <c r="K19" i="2" s="1"/>
  <c r="AF18" i="2"/>
  <c r="J19" i="2" s="1"/>
  <c r="O19" i="2" l="1"/>
  <c r="P19" i="2" s="1"/>
  <c r="Q19" i="2"/>
  <c r="R19" i="2" s="1"/>
  <c r="S19" i="2" l="1"/>
  <c r="T19" i="2" s="1"/>
  <c r="V19" i="2" l="1"/>
  <c r="W19" i="2" s="1"/>
  <c r="U19" i="2"/>
  <c r="X19" i="2" s="1"/>
  <c r="Y19" i="2"/>
  <c r="AA19" i="2" l="1"/>
  <c r="Z19" i="2"/>
  <c r="AI19" i="2"/>
  <c r="M20" i="2" s="1"/>
  <c r="AJ19" i="2"/>
  <c r="N20" i="2" s="1"/>
  <c r="AH19" i="2"/>
  <c r="L20" i="2" s="1"/>
  <c r="AB19" i="2" l="1"/>
  <c r="F20" i="2" s="1"/>
  <c r="AD19" i="2"/>
  <c r="H20" i="2" s="1"/>
  <c r="AC19" i="2"/>
  <c r="G20" i="2" s="1"/>
  <c r="AF19" i="2"/>
  <c r="J20" i="2" s="1"/>
  <c r="AG19" i="2"/>
  <c r="K20" i="2" s="1"/>
  <c r="AE19" i="2"/>
  <c r="I20" i="2" s="1"/>
  <c r="Q20" i="2" l="1"/>
  <c r="R20" i="2" s="1"/>
  <c r="O20" i="2"/>
  <c r="P20" i="2" s="1"/>
  <c r="S20" i="2" l="1"/>
  <c r="T20" i="2" s="1"/>
  <c r="V20" i="2" s="1"/>
  <c r="Y20" i="2" l="1"/>
  <c r="W20" i="2"/>
  <c r="U20" i="2"/>
  <c r="X20" i="2" s="1"/>
  <c r="Z20" i="2"/>
  <c r="AA20" i="2"/>
  <c r="AJ20" i="2"/>
  <c r="N21" i="2" s="1"/>
  <c r="AI20" i="2"/>
  <c r="M21" i="2" s="1"/>
  <c r="AH20" i="2"/>
  <c r="L21" i="2" s="1"/>
  <c r="AF20" i="2" l="1"/>
  <c r="J21" i="2" s="1"/>
  <c r="AE20" i="2"/>
  <c r="I21" i="2" s="1"/>
  <c r="AG20" i="2"/>
  <c r="K21" i="2" s="1"/>
  <c r="AD20" i="2"/>
  <c r="H21" i="2" s="1"/>
  <c r="AC20" i="2"/>
  <c r="G21" i="2" s="1"/>
  <c r="AB20" i="2"/>
  <c r="F21" i="2" s="1"/>
  <c r="Q21" i="2" l="1"/>
  <c r="R21" i="2" s="1"/>
  <c r="O21" i="2"/>
  <c r="P21" i="2" s="1"/>
  <c r="S21" i="2" l="1"/>
  <c r="T21" i="2" s="1"/>
  <c r="V21" i="2" l="1"/>
  <c r="U21" i="2"/>
  <c r="X21" i="2" s="1"/>
  <c r="Y21" i="2" l="1"/>
  <c r="W21" i="2"/>
  <c r="Z21" i="2" l="1"/>
  <c r="AA21" i="2"/>
  <c r="AJ21" i="2"/>
  <c r="N22" i="2" s="1"/>
  <c r="AI21" i="2"/>
  <c r="M22" i="2" s="1"/>
  <c r="AH21" i="2"/>
  <c r="L22" i="2" s="1"/>
  <c r="AE21" i="2" l="1"/>
  <c r="I22" i="2" s="1"/>
  <c r="AF21" i="2"/>
  <c r="J22" i="2" s="1"/>
  <c r="AG21" i="2"/>
  <c r="K22" i="2" s="1"/>
  <c r="AB21" i="2"/>
  <c r="F22" i="2" s="1"/>
  <c r="AC21" i="2"/>
  <c r="G22" i="2" s="1"/>
  <c r="AD21" i="2"/>
  <c r="H22" i="2" s="1"/>
  <c r="O22" i="2" l="1"/>
  <c r="P22" i="2" s="1"/>
  <c r="Q22" i="2"/>
  <c r="R22" i="2" s="1"/>
  <c r="S22" i="2" l="1"/>
  <c r="T22" i="2" s="1"/>
  <c r="V22" i="2" l="1"/>
  <c r="U22" i="2"/>
  <c r="X22" i="2" s="1"/>
  <c r="W22" i="2" l="1"/>
  <c r="Y22" i="2"/>
  <c r="Z22" i="2" l="1"/>
  <c r="AJ22" i="2"/>
  <c r="N23" i="2" s="1"/>
  <c r="AA22" i="2"/>
  <c r="AI22" i="2"/>
  <c r="M23" i="2" s="1"/>
  <c r="AH22" i="2"/>
  <c r="L23" i="2" s="1"/>
  <c r="AG22" i="2" l="1"/>
  <c r="K23" i="2" s="1"/>
  <c r="AF22" i="2"/>
  <c r="J23" i="2" s="1"/>
  <c r="AE22" i="2"/>
  <c r="I23" i="2" s="1"/>
  <c r="AC22" i="2"/>
  <c r="G23" i="2" s="1"/>
  <c r="AD22" i="2"/>
  <c r="H23" i="2" s="1"/>
  <c r="AB22" i="2"/>
  <c r="F23" i="2" s="1"/>
  <c r="O23" i="2" s="1"/>
  <c r="P23" i="2" s="1"/>
  <c r="Q23" i="2" l="1"/>
  <c r="R23" i="2" s="1"/>
  <c r="S23" i="2" s="1"/>
  <c r="T23" i="2" s="1"/>
  <c r="V23" i="2" l="1"/>
  <c r="U23" i="2"/>
  <c r="X23" i="2" s="1"/>
  <c r="W23" i="2" l="1"/>
  <c r="Y23" i="2"/>
  <c r="AH23" i="2" l="1"/>
  <c r="L24" i="2" s="1"/>
  <c r="AA23" i="2"/>
  <c r="Z23" i="2"/>
  <c r="AJ23" i="2"/>
  <c r="N24" i="2" s="1"/>
  <c r="AI23" i="2"/>
  <c r="M24" i="2" s="1"/>
  <c r="AG23" i="2" l="1"/>
  <c r="K24" i="2" s="1"/>
  <c r="AE23" i="2"/>
  <c r="I24" i="2" s="1"/>
  <c r="AF23" i="2"/>
  <c r="J24" i="2" s="1"/>
  <c r="AD23" i="2"/>
  <c r="H24" i="2" s="1"/>
  <c r="AC23" i="2"/>
  <c r="G24" i="2" s="1"/>
  <c r="AB23" i="2"/>
  <c r="F24" i="2" s="1"/>
  <c r="Q24" i="2" l="1"/>
  <c r="R24" i="2" s="1"/>
  <c r="O24" i="2"/>
  <c r="P24" i="2" s="1"/>
  <c r="S24" i="2" l="1"/>
  <c r="T24" i="2" s="1"/>
  <c r="V24" i="2" s="1"/>
  <c r="U24" i="2" l="1"/>
  <c r="X24" i="2" s="1"/>
  <c r="W24" i="2"/>
  <c r="Y24" i="2"/>
  <c r="AH24" i="2" l="1"/>
  <c r="L25" i="2" s="1"/>
  <c r="AJ24" i="2"/>
  <c r="N25" i="2" s="1"/>
  <c r="AI24" i="2"/>
  <c r="M25" i="2" s="1"/>
  <c r="AA24" i="2"/>
  <c r="Z24" i="2"/>
  <c r="AG24" i="2" l="1"/>
  <c r="K25" i="2" s="1"/>
  <c r="AE24" i="2"/>
  <c r="I25" i="2" s="1"/>
  <c r="AF24" i="2"/>
  <c r="J25" i="2" s="1"/>
  <c r="AC24" i="2"/>
  <c r="G25" i="2" s="1"/>
  <c r="AB24" i="2"/>
  <c r="F25" i="2" s="1"/>
  <c r="AD24" i="2"/>
  <c r="H25" i="2" s="1"/>
  <c r="O25" i="2" l="1"/>
  <c r="P25" i="2" s="1"/>
  <c r="Q25" i="2"/>
  <c r="R25" i="2" s="1"/>
  <c r="S25" i="2" l="1"/>
  <c r="T25" i="2" s="1"/>
  <c r="V25" i="2" l="1"/>
  <c r="U25" i="2"/>
  <c r="X25" i="2" s="1"/>
  <c r="W25" i="2" l="1"/>
  <c r="Y25" i="2"/>
  <c r="Z25" i="2" l="1"/>
  <c r="AI25" i="2"/>
  <c r="M26" i="2" s="1"/>
  <c r="AA25" i="2"/>
  <c r="AJ25" i="2"/>
  <c r="N26" i="2" s="1"/>
  <c r="AH25" i="2"/>
  <c r="L26" i="2" s="1"/>
  <c r="AE25" i="2" l="1"/>
  <c r="I26" i="2" s="1"/>
  <c r="AG25" i="2"/>
  <c r="K26" i="2" s="1"/>
  <c r="AF25" i="2"/>
  <c r="J26" i="2" s="1"/>
  <c r="AD25" i="2"/>
  <c r="H26" i="2" s="1"/>
  <c r="AC25" i="2"/>
  <c r="G26" i="2" s="1"/>
  <c r="AB25" i="2"/>
  <c r="F26" i="2" s="1"/>
  <c r="O26" i="2" s="1"/>
  <c r="P26" i="2" s="1"/>
  <c r="Q26" i="2" l="1"/>
  <c r="R26" i="2" s="1"/>
  <c r="S26" i="2" s="1"/>
  <c r="T26" i="2" s="1"/>
  <c r="V26" i="2" l="1"/>
  <c r="U26" i="2"/>
  <c r="X26" i="2" s="1"/>
  <c r="Y26" i="2" l="1"/>
  <c r="W26" i="2"/>
  <c r="Z26" i="2" l="1"/>
  <c r="AI26" i="2"/>
  <c r="M27" i="2" s="1"/>
  <c r="AJ26" i="2"/>
  <c r="N27" i="2" s="1"/>
  <c r="AH26" i="2"/>
  <c r="L27" i="2" s="1"/>
  <c r="AA26" i="2"/>
  <c r="AF26" i="2" l="1"/>
  <c r="J27" i="2" s="1"/>
  <c r="AG26" i="2"/>
  <c r="K27" i="2" s="1"/>
  <c r="AE26" i="2"/>
  <c r="I27" i="2" s="1"/>
  <c r="AC26" i="2"/>
  <c r="G27" i="2" s="1"/>
  <c r="AD26" i="2"/>
  <c r="H27" i="2" s="1"/>
  <c r="AB26" i="2"/>
  <c r="F27" i="2" s="1"/>
  <c r="O27" i="2" s="1"/>
  <c r="P27" i="2" s="1"/>
  <c r="Q27" i="2" l="1"/>
  <c r="R27" i="2" s="1"/>
  <c r="S27" i="2"/>
  <c r="T27" i="2" s="1"/>
  <c r="V27" i="2" s="1"/>
  <c r="U27" i="2" l="1"/>
  <c r="X27" i="2" s="1"/>
  <c r="W27" i="2"/>
  <c r="Y27" i="2"/>
  <c r="AI27" i="2" l="1"/>
  <c r="M28" i="2" s="1"/>
  <c r="AH27" i="2"/>
  <c r="L28" i="2" s="1"/>
  <c r="Z27" i="2"/>
  <c r="AJ27" i="2"/>
  <c r="N28" i="2" s="1"/>
  <c r="AA27" i="2"/>
  <c r="AE27" i="2" l="1"/>
  <c r="I28" i="2" s="1"/>
  <c r="AF27" i="2"/>
  <c r="J28" i="2" s="1"/>
  <c r="AG27" i="2"/>
  <c r="K28" i="2" s="1"/>
  <c r="AD27" i="2"/>
  <c r="H28" i="2" s="1"/>
  <c r="AC27" i="2"/>
  <c r="G28" i="2" s="1"/>
  <c r="AB27" i="2"/>
  <c r="F28" i="2" s="1"/>
  <c r="O28" i="2" s="1"/>
  <c r="P28" i="2" s="1"/>
  <c r="Q28" i="2" l="1"/>
  <c r="R28" i="2" s="1"/>
  <c r="S28" i="2" s="1"/>
  <c r="T28" i="2" s="1"/>
  <c r="V28" i="2" l="1"/>
  <c r="U28" i="2"/>
  <c r="X28" i="2" s="1"/>
  <c r="W28" i="2"/>
  <c r="Y28" i="2"/>
  <c r="Z28" i="2" l="1"/>
  <c r="AJ28" i="2"/>
  <c r="N29" i="2" s="1"/>
  <c r="AA28" i="2"/>
  <c r="AI28" i="2"/>
  <c r="M29" i="2" s="1"/>
  <c r="AH28" i="2"/>
  <c r="L29" i="2" s="1"/>
  <c r="AF28" i="2" l="1"/>
  <c r="J29" i="2" s="1"/>
  <c r="AG28" i="2"/>
  <c r="K29" i="2" s="1"/>
  <c r="AE28" i="2"/>
  <c r="I29" i="2" s="1"/>
  <c r="AC28" i="2"/>
  <c r="G29" i="2" s="1"/>
  <c r="AD28" i="2"/>
  <c r="H29" i="2" s="1"/>
  <c r="AB28" i="2"/>
  <c r="F29" i="2" s="1"/>
  <c r="Q29" i="2" l="1"/>
  <c r="R29" i="2" s="1"/>
  <c r="O29" i="2"/>
  <c r="P29" i="2" s="1"/>
  <c r="S29" i="2" s="1"/>
  <c r="T29" i="2" s="1"/>
  <c r="V29" i="2" l="1"/>
  <c r="U29" i="2"/>
  <c r="X29" i="2" s="1"/>
  <c r="Y29" i="2" l="1"/>
  <c r="W29" i="2"/>
  <c r="AJ29" i="2" l="1"/>
  <c r="N30" i="2" s="1"/>
  <c r="AA29" i="2"/>
  <c r="Z29" i="2"/>
  <c r="AI29" i="2"/>
  <c r="M30" i="2" s="1"/>
  <c r="AH29" i="2"/>
  <c r="L30" i="2" s="1"/>
  <c r="AB29" i="2" l="1"/>
  <c r="F30" i="2" s="1"/>
  <c r="AD29" i="2"/>
  <c r="H30" i="2" s="1"/>
  <c r="AC29" i="2"/>
  <c r="G30" i="2" s="1"/>
  <c r="AF29" i="2"/>
  <c r="J30" i="2" s="1"/>
  <c r="AG29" i="2"/>
  <c r="K30" i="2" s="1"/>
  <c r="AE29" i="2"/>
  <c r="I30" i="2" s="1"/>
  <c r="Q30" i="2" s="1"/>
  <c r="R30" i="2" s="1"/>
  <c r="O30" i="2" l="1"/>
  <c r="P30" i="2" s="1"/>
  <c r="S30" i="2" s="1"/>
  <c r="T30" i="2" s="1"/>
  <c r="V30" i="2" l="1"/>
  <c r="U30" i="2"/>
  <c r="X30" i="2" s="1"/>
  <c r="W30" i="2" l="1"/>
  <c r="Y30" i="2"/>
  <c r="AJ30" i="2" l="1"/>
  <c r="N31" i="2" s="1"/>
  <c r="AA30" i="2"/>
  <c r="Z30" i="2"/>
  <c r="AI30" i="2"/>
  <c r="M31" i="2" s="1"/>
  <c r="AH30" i="2"/>
  <c r="L31" i="2" s="1"/>
  <c r="AC30" i="2" l="1"/>
  <c r="G31" i="2" s="1"/>
  <c r="AD30" i="2"/>
  <c r="H31" i="2" s="1"/>
  <c r="AB30" i="2"/>
  <c r="F31" i="2" s="1"/>
  <c r="AG30" i="2"/>
  <c r="K31" i="2" s="1"/>
  <c r="AF30" i="2"/>
  <c r="J31" i="2" s="1"/>
  <c r="AE30" i="2"/>
  <c r="I31" i="2" s="1"/>
  <c r="O31" i="2" l="1"/>
  <c r="P31" i="2" s="1"/>
  <c r="Q31" i="2"/>
  <c r="R31" i="2" s="1"/>
  <c r="S31" i="2" l="1"/>
  <c r="T31" i="2" s="1"/>
  <c r="V31" i="2"/>
  <c r="U31" i="2"/>
  <c r="X31" i="2" s="1"/>
  <c r="W31" i="2" l="1"/>
  <c r="Y31" i="2"/>
  <c r="AA31" i="2" l="1"/>
  <c r="Z31" i="2"/>
  <c r="AH31" i="2"/>
  <c r="L32" i="2" s="1"/>
  <c r="AJ31" i="2"/>
  <c r="N32" i="2" s="1"/>
  <c r="AI31" i="2"/>
  <c r="M32" i="2" s="1"/>
  <c r="AB31" i="2" l="1"/>
  <c r="F32" i="2" s="1"/>
  <c r="AC31" i="2"/>
  <c r="G32" i="2" s="1"/>
  <c r="AD31" i="2"/>
  <c r="H32" i="2" s="1"/>
  <c r="AF31" i="2"/>
  <c r="J32" i="2" s="1"/>
  <c r="AG31" i="2"/>
  <c r="K32" i="2" s="1"/>
  <c r="AE31" i="2"/>
  <c r="I32" i="2" s="1"/>
  <c r="O32" i="2" l="1"/>
  <c r="P32" i="2" s="1"/>
  <c r="Q32" i="2"/>
  <c r="R32" i="2" s="1"/>
  <c r="S32" i="2" l="1"/>
  <c r="T32" i="2" s="1"/>
  <c r="V32" i="2" l="1"/>
  <c r="U32" i="2"/>
  <c r="X32" i="2" s="1"/>
  <c r="Y32" i="2" l="1"/>
  <c r="W32" i="2"/>
  <c r="Z32" i="2" l="1"/>
  <c r="AA32" i="2"/>
  <c r="AI32" i="2"/>
  <c r="M33" i="2" s="1"/>
  <c r="AJ32" i="2"/>
  <c r="N33" i="2" s="1"/>
  <c r="AH32" i="2"/>
  <c r="L33" i="2" s="1"/>
  <c r="AF32" i="2" l="1"/>
  <c r="J33" i="2" s="1"/>
  <c r="AE32" i="2"/>
  <c r="I33" i="2" s="1"/>
  <c r="AG32" i="2"/>
  <c r="K33" i="2" s="1"/>
  <c r="AB32" i="2"/>
  <c r="F33" i="2" s="1"/>
  <c r="AD32" i="2"/>
  <c r="H33" i="2" s="1"/>
  <c r="AC32" i="2"/>
  <c r="G33" i="2" s="1"/>
  <c r="O33" i="2" l="1"/>
  <c r="P33" i="2" s="1"/>
  <c r="Q33" i="2"/>
  <c r="R33" i="2" s="1"/>
  <c r="S33" i="2" l="1"/>
  <c r="T33" i="2" s="1"/>
  <c r="V33" i="2" l="1"/>
  <c r="U33" i="2"/>
  <c r="X33" i="2" s="1"/>
  <c r="Y33" i="2" l="1"/>
  <c r="W33" i="2"/>
  <c r="AA33" i="2" l="1"/>
  <c r="Z33" i="2"/>
  <c r="AH33" i="2"/>
  <c r="L34" i="2" s="1"/>
  <c r="AJ33" i="2"/>
  <c r="N34" i="2" s="1"/>
  <c r="AI33" i="2"/>
  <c r="M34" i="2" s="1"/>
  <c r="AB33" i="2" l="1"/>
  <c r="F34" i="2" s="1"/>
  <c r="AD33" i="2"/>
  <c r="H34" i="2" s="1"/>
  <c r="AC33" i="2"/>
  <c r="G34" i="2" s="1"/>
  <c r="AG33" i="2"/>
  <c r="K34" i="2" s="1"/>
  <c r="AE33" i="2"/>
  <c r="I34" i="2" s="1"/>
  <c r="AF33" i="2"/>
  <c r="J34" i="2" s="1"/>
  <c r="O34" i="2" l="1"/>
  <c r="P34" i="2" s="1"/>
  <c r="Q34" i="2"/>
  <c r="R34" i="2" s="1"/>
  <c r="S34" i="2" l="1"/>
  <c r="T34" i="2" s="1"/>
  <c r="V34" i="2" l="1"/>
  <c r="U34" i="2"/>
  <c r="X34" i="2" s="1"/>
  <c r="Y34" i="2" l="1"/>
  <c r="W34" i="2"/>
  <c r="AA34" i="2" l="1"/>
  <c r="Z34" i="2"/>
  <c r="AH34" i="2"/>
  <c r="L35" i="2" s="1"/>
  <c r="AI34" i="2"/>
  <c r="M35" i="2" s="1"/>
  <c r="AJ34" i="2"/>
  <c r="N35" i="2" s="1"/>
  <c r="AC34" i="2" l="1"/>
  <c r="G35" i="2" s="1"/>
  <c r="AD34" i="2"/>
  <c r="H35" i="2" s="1"/>
  <c r="AB34" i="2"/>
  <c r="F35" i="2" s="1"/>
  <c r="AG34" i="2"/>
  <c r="K35" i="2" s="1"/>
  <c r="AF34" i="2"/>
  <c r="J35" i="2" s="1"/>
  <c r="AE34" i="2"/>
  <c r="I35" i="2" s="1"/>
  <c r="O35" i="2" l="1"/>
  <c r="P35" i="2" s="1"/>
  <c r="Q35" i="2"/>
  <c r="R35" i="2" s="1"/>
  <c r="S35" i="2" l="1"/>
  <c r="T35" i="2" s="1"/>
  <c r="V35" i="2" l="1"/>
  <c r="U35" i="2"/>
  <c r="X35" i="2" s="1"/>
  <c r="Y35" i="2" l="1"/>
  <c r="W35" i="2"/>
  <c r="AA35" i="2" l="1"/>
  <c r="Z35" i="2"/>
  <c r="AJ35" i="2"/>
  <c r="N36" i="2" s="1"/>
  <c r="AI35" i="2"/>
  <c r="M36" i="2" s="1"/>
  <c r="AH35" i="2"/>
  <c r="L36" i="2" s="1"/>
  <c r="AD35" i="2" l="1"/>
  <c r="H36" i="2" s="1"/>
  <c r="AB35" i="2"/>
  <c r="F36" i="2" s="1"/>
  <c r="AC35" i="2"/>
  <c r="G36" i="2" s="1"/>
  <c r="AG35" i="2"/>
  <c r="K36" i="2" s="1"/>
  <c r="AF35" i="2"/>
  <c r="J36" i="2" s="1"/>
  <c r="AE35" i="2"/>
  <c r="I36" i="2" s="1"/>
  <c r="O36" i="2" l="1"/>
  <c r="P36" i="2" s="1"/>
  <c r="Q36" i="2"/>
  <c r="R36" i="2" s="1"/>
  <c r="S36" i="2" l="1"/>
  <c r="T36" i="2" s="1"/>
  <c r="V36" i="2" l="1"/>
  <c r="U36" i="2"/>
  <c r="X36" i="2" s="1"/>
  <c r="Y36" i="2" l="1"/>
  <c r="W36" i="2"/>
  <c r="AA36" i="2" l="1"/>
  <c r="Z36" i="2"/>
  <c r="AI36" i="2"/>
  <c r="M37" i="2" s="1"/>
  <c r="AH36" i="2"/>
  <c r="L37" i="2" s="1"/>
  <c r="AJ36" i="2"/>
  <c r="N37" i="2" s="1"/>
  <c r="AB36" i="2" l="1"/>
  <c r="F37" i="2" s="1"/>
  <c r="AC36" i="2"/>
  <c r="G37" i="2" s="1"/>
  <c r="AD36" i="2"/>
  <c r="H37" i="2" s="1"/>
  <c r="AG36" i="2"/>
  <c r="K37" i="2" s="1"/>
  <c r="AE36" i="2"/>
  <c r="I37" i="2" s="1"/>
  <c r="AF36" i="2"/>
  <c r="J37" i="2" s="1"/>
  <c r="O37" i="2" l="1"/>
  <c r="P37" i="2" s="1"/>
  <c r="Q37" i="2"/>
  <c r="R37" i="2" s="1"/>
  <c r="S37" i="2" l="1"/>
  <c r="T37" i="2" s="1"/>
  <c r="V37" i="2" l="1"/>
  <c r="U37" i="2"/>
  <c r="X37" i="2" s="1"/>
  <c r="Y37" i="2" l="1"/>
  <c r="W37" i="2"/>
  <c r="Z37" i="2" l="1"/>
  <c r="AA37" i="2"/>
  <c r="AJ37" i="2"/>
  <c r="N38" i="2" s="1"/>
  <c r="AH37" i="2"/>
  <c r="L38" i="2" s="1"/>
  <c r="AI37" i="2"/>
  <c r="M38" i="2" s="1"/>
  <c r="AG37" i="2" l="1"/>
  <c r="K38" i="2" s="1"/>
  <c r="AF37" i="2"/>
  <c r="J38" i="2" s="1"/>
  <c r="AE37" i="2"/>
  <c r="I38" i="2" s="1"/>
  <c r="AD37" i="2"/>
  <c r="H38" i="2" s="1"/>
  <c r="AB37" i="2"/>
  <c r="F38" i="2" s="1"/>
  <c r="AC37" i="2"/>
  <c r="G38" i="2" s="1"/>
  <c r="Q38" i="2" l="1"/>
  <c r="R38" i="2" s="1"/>
  <c r="O38" i="2"/>
  <c r="P38" i="2" s="1"/>
  <c r="S38" i="2" s="1"/>
  <c r="T38" i="2" s="1"/>
  <c r="V38" i="2" l="1"/>
  <c r="U38" i="2"/>
  <c r="X38" i="2" s="1"/>
  <c r="W38" i="2" l="1"/>
  <c r="Y38" i="2"/>
  <c r="Z38" i="2" l="1"/>
  <c r="AA38" i="2"/>
  <c r="AH38" i="2"/>
  <c r="L39" i="2" s="1"/>
  <c r="AI38" i="2"/>
  <c r="M39" i="2" s="1"/>
  <c r="AJ38" i="2"/>
  <c r="N39" i="2" s="1"/>
  <c r="AG38" i="2" l="1"/>
  <c r="K39" i="2" s="1"/>
  <c r="AF38" i="2"/>
  <c r="J39" i="2" s="1"/>
  <c r="AE38" i="2"/>
  <c r="I39" i="2" s="1"/>
  <c r="AD38" i="2"/>
  <c r="H39" i="2" s="1"/>
  <c r="AB38" i="2"/>
  <c r="F39" i="2" s="1"/>
  <c r="AC38" i="2"/>
  <c r="G39" i="2" s="1"/>
  <c r="Q39" i="2" l="1"/>
  <c r="R39" i="2" s="1"/>
  <c r="O39" i="2"/>
  <c r="P39" i="2" s="1"/>
  <c r="S39" i="2" s="1"/>
  <c r="T39" i="2" s="1"/>
  <c r="V39" i="2" l="1"/>
  <c r="U39" i="2"/>
  <c r="X39" i="2" s="1"/>
  <c r="W39" i="2" l="1"/>
  <c r="Y39" i="2"/>
  <c r="Z39" i="2" l="1"/>
  <c r="AA39" i="2"/>
  <c r="AI39" i="2"/>
  <c r="M40" i="2" s="1"/>
  <c r="AH39" i="2"/>
  <c r="L40" i="2" s="1"/>
  <c r="AJ39" i="2"/>
  <c r="N40" i="2" s="1"/>
  <c r="AE39" i="2" l="1"/>
  <c r="I40" i="2" s="1"/>
  <c r="AG39" i="2"/>
  <c r="K40" i="2" s="1"/>
  <c r="AF39" i="2"/>
  <c r="J40" i="2" s="1"/>
  <c r="AD39" i="2"/>
  <c r="H40" i="2" s="1"/>
  <c r="AC39" i="2"/>
  <c r="G40" i="2" s="1"/>
  <c r="AB39" i="2"/>
  <c r="F40" i="2" s="1"/>
  <c r="Q40" i="2" l="1"/>
  <c r="R40" i="2" s="1"/>
  <c r="O40" i="2"/>
  <c r="P40" i="2" s="1"/>
  <c r="S40" i="2" s="1"/>
  <c r="T40" i="2" s="1"/>
  <c r="V40" i="2" l="1"/>
  <c r="U40" i="2"/>
  <c r="X40" i="2" s="1"/>
  <c r="W40" i="2" l="1"/>
  <c r="Y40" i="2"/>
  <c r="AH40" i="2" l="1"/>
  <c r="L41" i="2" s="1"/>
  <c r="Z40" i="2"/>
  <c r="AA40" i="2"/>
  <c r="AI40" i="2"/>
  <c r="M41" i="2" s="1"/>
  <c r="AJ40" i="2"/>
  <c r="N41" i="2" s="1"/>
  <c r="AC40" i="2" l="1"/>
  <c r="G41" i="2" s="1"/>
  <c r="AD40" i="2"/>
  <c r="H41" i="2" s="1"/>
  <c r="AB40" i="2"/>
  <c r="F41" i="2" s="1"/>
  <c r="AG40" i="2"/>
  <c r="K41" i="2" s="1"/>
  <c r="AF40" i="2"/>
  <c r="J41" i="2" s="1"/>
  <c r="AE40" i="2"/>
  <c r="I41" i="2" s="1"/>
  <c r="Q41" i="2" l="1"/>
  <c r="R41" i="2" s="1"/>
  <c r="O41" i="2"/>
  <c r="P41" i="2" s="1"/>
  <c r="S41" i="2" s="1"/>
  <c r="T41" i="2" s="1"/>
  <c r="V41" i="2" l="1"/>
  <c r="U41" i="2"/>
  <c r="X41" i="2" s="1"/>
  <c r="W41" i="2" l="1"/>
  <c r="Y41" i="2"/>
  <c r="AA41" i="2" l="1"/>
  <c r="Z41" i="2"/>
  <c r="AH41" i="2"/>
  <c r="L42" i="2" s="1"/>
  <c r="AJ41" i="2"/>
  <c r="N42" i="2" s="1"/>
  <c r="AI41" i="2"/>
  <c r="M42" i="2" s="1"/>
  <c r="AD41" i="2" l="1"/>
  <c r="H42" i="2" s="1"/>
  <c r="AB41" i="2"/>
  <c r="F42" i="2" s="1"/>
  <c r="AC41" i="2"/>
  <c r="G42" i="2" s="1"/>
  <c r="AE41" i="2"/>
  <c r="I42" i="2" s="1"/>
  <c r="AF41" i="2"/>
  <c r="J42" i="2" s="1"/>
  <c r="AG41" i="2"/>
  <c r="K42" i="2" s="1"/>
  <c r="Q42" i="2" l="1"/>
  <c r="R42" i="2" s="1"/>
  <c r="O42" i="2"/>
  <c r="P42" i="2" s="1"/>
  <c r="S42" i="2" s="1"/>
  <c r="T42" i="2" s="1"/>
  <c r="V42" i="2" l="1"/>
  <c r="U42" i="2"/>
  <c r="X42" i="2" s="1"/>
  <c r="Y42" i="2" l="1"/>
  <c r="W42" i="2"/>
  <c r="AA42" i="2" l="1"/>
  <c r="Z42" i="2"/>
  <c r="AI42" i="2"/>
  <c r="M43" i="2" s="1"/>
  <c r="AH42" i="2"/>
  <c r="L43" i="2" s="1"/>
  <c r="AJ42" i="2"/>
  <c r="N43" i="2" s="1"/>
  <c r="AC42" i="2" l="1"/>
  <c r="G43" i="2" s="1"/>
  <c r="AD42" i="2"/>
  <c r="H43" i="2" s="1"/>
  <c r="AB42" i="2"/>
  <c r="F43" i="2" s="1"/>
  <c r="AE42" i="2"/>
  <c r="I43" i="2" s="1"/>
  <c r="AG42" i="2"/>
  <c r="K43" i="2" s="1"/>
  <c r="AF42" i="2"/>
  <c r="J43" i="2" s="1"/>
  <c r="O43" i="2" l="1"/>
  <c r="P43" i="2" s="1"/>
  <c r="Q43" i="2"/>
  <c r="R43" i="2" s="1"/>
  <c r="S43" i="2" l="1"/>
  <c r="T43" i="2" s="1"/>
  <c r="V43" i="2" l="1"/>
  <c r="U43" i="2"/>
  <c r="X43" i="2" s="1"/>
  <c r="Y43" i="2" l="1"/>
  <c r="W43" i="2"/>
  <c r="AA43" i="2" l="1"/>
  <c r="Z43" i="2"/>
  <c r="AJ43" i="2"/>
  <c r="N44" i="2" s="1"/>
  <c r="AH43" i="2"/>
  <c r="L44" i="2" s="1"/>
  <c r="AI43" i="2"/>
  <c r="M44" i="2" s="1"/>
  <c r="AD43" i="2" l="1"/>
  <c r="H44" i="2" s="1"/>
  <c r="AB43" i="2"/>
  <c r="F44" i="2" s="1"/>
  <c r="AC43" i="2"/>
  <c r="G44" i="2" s="1"/>
  <c r="AG43" i="2"/>
  <c r="K44" i="2" s="1"/>
  <c r="AF43" i="2"/>
  <c r="J44" i="2" s="1"/>
  <c r="AE43" i="2"/>
  <c r="I44" i="2" s="1"/>
  <c r="O44" i="2" l="1"/>
  <c r="P44" i="2" s="1"/>
  <c r="Q44" i="2"/>
  <c r="R44" i="2" s="1"/>
  <c r="S44" i="2" l="1"/>
  <c r="T44" i="2" s="1"/>
  <c r="V44" i="2" l="1"/>
  <c r="U44" i="2"/>
  <c r="X44" i="2" s="1"/>
  <c r="Y44" i="2" l="1"/>
  <c r="W44" i="2"/>
  <c r="AA44" i="2" l="1"/>
  <c r="Z44" i="2"/>
  <c r="AJ44" i="2"/>
  <c r="N45" i="2" s="1"/>
  <c r="AH44" i="2"/>
  <c r="L45" i="2" s="1"/>
  <c r="AI44" i="2"/>
  <c r="M45" i="2" s="1"/>
  <c r="AD44" i="2" l="1"/>
  <c r="H45" i="2" s="1"/>
  <c r="AC44" i="2"/>
  <c r="G45" i="2" s="1"/>
  <c r="AB44" i="2"/>
  <c r="F45" i="2" s="1"/>
  <c r="AG44" i="2"/>
  <c r="K45" i="2" s="1"/>
  <c r="AE44" i="2"/>
  <c r="I45" i="2" s="1"/>
  <c r="AF44" i="2"/>
  <c r="J45" i="2" s="1"/>
  <c r="O45" i="2" l="1"/>
  <c r="P45" i="2" s="1"/>
  <c r="Q45" i="2"/>
  <c r="R45" i="2" s="1"/>
  <c r="S45" i="2" l="1"/>
  <c r="T45" i="2" s="1"/>
  <c r="V45" i="2" l="1"/>
  <c r="U45" i="2"/>
  <c r="X45" i="2" s="1"/>
  <c r="W45" i="2" l="1"/>
  <c r="Y45" i="2"/>
  <c r="AA45" i="2" l="1"/>
  <c r="Z45" i="2"/>
  <c r="AI45" i="2"/>
  <c r="M46" i="2" s="1"/>
  <c r="AJ45" i="2"/>
  <c r="N46" i="2" s="1"/>
  <c r="AH45" i="2"/>
  <c r="L46" i="2" s="1"/>
  <c r="AC45" i="2" l="1"/>
  <c r="G46" i="2" s="1"/>
  <c r="AB45" i="2"/>
  <c r="F46" i="2" s="1"/>
  <c r="AD45" i="2"/>
  <c r="H46" i="2" s="1"/>
  <c r="AF45" i="2"/>
  <c r="J46" i="2" s="1"/>
  <c r="AG45" i="2"/>
  <c r="K46" i="2" s="1"/>
  <c r="AE45" i="2"/>
  <c r="I46" i="2" s="1"/>
  <c r="O46" i="2" l="1"/>
  <c r="P46" i="2" s="1"/>
  <c r="Q46" i="2"/>
  <c r="R46" i="2" s="1"/>
  <c r="S46" i="2" l="1"/>
  <c r="T46" i="2" s="1"/>
  <c r="V46" i="2" l="1"/>
  <c r="U46" i="2"/>
  <c r="X46" i="2" s="1"/>
  <c r="Y46" i="2" l="1"/>
  <c r="W46" i="2"/>
  <c r="AA46" i="2" l="1"/>
  <c r="Z46" i="2"/>
  <c r="AH46" i="2"/>
  <c r="L47" i="2" s="1"/>
  <c r="AI46" i="2"/>
  <c r="M47" i="2" s="1"/>
  <c r="AJ46" i="2"/>
  <c r="N47" i="2" s="1"/>
  <c r="AD46" i="2" l="1"/>
  <c r="H47" i="2" s="1"/>
  <c r="AC46" i="2"/>
  <c r="G47" i="2" s="1"/>
  <c r="AB46" i="2"/>
  <c r="F47" i="2" s="1"/>
  <c r="AF46" i="2"/>
  <c r="J47" i="2" s="1"/>
  <c r="AG46" i="2"/>
  <c r="K47" i="2" s="1"/>
  <c r="AE46" i="2"/>
  <c r="I47" i="2" s="1"/>
  <c r="O47" i="2" l="1"/>
  <c r="P47" i="2" s="1"/>
  <c r="Q47" i="2"/>
  <c r="R47" i="2" s="1"/>
  <c r="S47" i="2" l="1"/>
  <c r="T47" i="2" s="1"/>
  <c r="V47" i="2" l="1"/>
  <c r="U47" i="2"/>
  <c r="X47" i="2" s="1"/>
  <c r="Y47" i="2" l="1"/>
  <c r="W47" i="2"/>
  <c r="Z47" i="2" l="1"/>
  <c r="AA47" i="2"/>
  <c r="AJ47" i="2"/>
  <c r="N48" i="2" s="1"/>
  <c r="AI47" i="2"/>
  <c r="M48" i="2" s="1"/>
  <c r="AH47" i="2"/>
  <c r="L48" i="2" s="1"/>
  <c r="AF47" i="2" l="1"/>
  <c r="J48" i="2" s="1"/>
  <c r="AG47" i="2"/>
  <c r="K48" i="2" s="1"/>
  <c r="AE47" i="2"/>
  <c r="I48" i="2" s="1"/>
  <c r="AC47" i="2"/>
  <c r="G48" i="2" s="1"/>
  <c r="AD47" i="2"/>
  <c r="H48" i="2" s="1"/>
  <c r="AB47" i="2"/>
  <c r="F48" i="2" s="1"/>
  <c r="Q48" i="2" l="1"/>
  <c r="R48" i="2" s="1"/>
  <c r="O48" i="2"/>
  <c r="P48" i="2" s="1"/>
  <c r="S48" i="2" s="1"/>
  <c r="T48" i="2" s="1"/>
  <c r="V48" i="2" l="1"/>
  <c r="U48" i="2"/>
  <c r="X48" i="2" s="1"/>
  <c r="Y48" i="2" l="1"/>
  <c r="W48" i="2"/>
  <c r="AA48" i="2" l="1"/>
  <c r="Z48" i="2"/>
  <c r="AH48" i="2"/>
  <c r="L49" i="2" s="1"/>
  <c r="AI48" i="2"/>
  <c r="M49" i="2" s="1"/>
  <c r="AJ48" i="2"/>
  <c r="N49" i="2" s="1"/>
  <c r="AB48" i="2" l="1"/>
  <c r="F49" i="2" s="1"/>
  <c r="AC48" i="2"/>
  <c r="G49" i="2" s="1"/>
  <c r="AD48" i="2"/>
  <c r="H49" i="2" s="1"/>
  <c r="AE48" i="2"/>
  <c r="I49" i="2" s="1"/>
  <c r="AF48" i="2"/>
  <c r="J49" i="2" s="1"/>
  <c r="AG48" i="2"/>
  <c r="K49" i="2" s="1"/>
  <c r="Q49" i="2" l="1"/>
  <c r="R49" i="2" s="1"/>
  <c r="O49" i="2"/>
  <c r="P49" i="2" s="1"/>
  <c r="S49" i="2" s="1"/>
  <c r="T49" i="2" s="1"/>
  <c r="V49" i="2" l="1"/>
  <c r="U49" i="2"/>
  <c r="X49" i="2" s="1"/>
  <c r="W49" i="2" l="1"/>
  <c r="Y49" i="2"/>
  <c r="AA49" i="2" l="1"/>
  <c r="Z49" i="2"/>
  <c r="AJ49" i="2"/>
  <c r="N50" i="2" s="1"/>
  <c r="AI49" i="2"/>
  <c r="M50" i="2" s="1"/>
  <c r="AH49" i="2"/>
  <c r="L50" i="2" s="1"/>
  <c r="AB49" i="2" l="1"/>
  <c r="F50" i="2" s="1"/>
  <c r="AD49" i="2"/>
  <c r="H50" i="2" s="1"/>
  <c r="AC49" i="2"/>
  <c r="G50" i="2" s="1"/>
  <c r="AE49" i="2"/>
  <c r="I50" i="2" s="1"/>
  <c r="AG49" i="2"/>
  <c r="K50" i="2" s="1"/>
  <c r="AF49" i="2"/>
  <c r="J50" i="2" s="1"/>
  <c r="Q50" i="2" l="1"/>
  <c r="R50" i="2" s="1"/>
  <c r="O50" i="2"/>
  <c r="P50" i="2" s="1"/>
  <c r="S50" i="2" s="1"/>
  <c r="T50" i="2" s="1"/>
  <c r="V50" i="2" l="1"/>
  <c r="U50" i="2"/>
  <c r="X50" i="2" s="1"/>
  <c r="Y50" i="2" l="1"/>
  <c r="W50" i="2"/>
  <c r="AA50" i="2" l="1"/>
  <c r="Z50" i="2"/>
  <c r="AI50" i="2"/>
  <c r="M51" i="2" s="1"/>
  <c r="AJ50" i="2"/>
  <c r="N51" i="2" s="1"/>
  <c r="AH50" i="2"/>
  <c r="L51" i="2" s="1"/>
  <c r="AC50" i="2" l="1"/>
  <c r="G51" i="2" s="1"/>
  <c r="AD50" i="2"/>
  <c r="H51" i="2" s="1"/>
  <c r="AB50" i="2"/>
  <c r="F51" i="2" s="1"/>
  <c r="AE50" i="2"/>
  <c r="I51" i="2" s="1"/>
  <c r="AF50" i="2"/>
  <c r="J51" i="2" s="1"/>
  <c r="AG50" i="2"/>
  <c r="K51" i="2" s="1"/>
  <c r="O51" i="2" l="1"/>
  <c r="P51" i="2" s="1"/>
  <c r="Q51" i="2"/>
  <c r="R51" i="2" s="1"/>
  <c r="S51" i="2" l="1"/>
  <c r="T51" i="2" s="1"/>
  <c r="V51" i="2" l="1"/>
  <c r="U51" i="2"/>
  <c r="X51" i="2" s="1"/>
  <c r="W51" i="2" l="1"/>
  <c r="Y51" i="2"/>
  <c r="Z51" i="2" l="1"/>
  <c r="AA51" i="2"/>
  <c r="AI51" i="2"/>
  <c r="M52" i="2" s="1"/>
  <c r="AH51" i="2"/>
  <c r="L52" i="2" s="1"/>
  <c r="AJ51" i="2"/>
  <c r="N52" i="2" s="1"/>
  <c r="AE51" i="2" l="1"/>
  <c r="I52" i="2" s="1"/>
  <c r="AG51" i="2"/>
  <c r="K52" i="2" s="1"/>
  <c r="AF51" i="2"/>
  <c r="J52" i="2" s="1"/>
  <c r="AB51" i="2"/>
  <c r="F52" i="2" s="1"/>
  <c r="AD51" i="2"/>
  <c r="H52" i="2" s="1"/>
  <c r="AC51" i="2"/>
  <c r="G52" i="2" s="1"/>
  <c r="O52" i="2" l="1"/>
  <c r="P52" i="2" s="1"/>
  <c r="Q52" i="2"/>
  <c r="R52" i="2" s="1"/>
  <c r="S52" i="2" l="1"/>
  <c r="T52" i="2" s="1"/>
  <c r="V52" i="2" l="1"/>
  <c r="U52" i="2"/>
  <c r="X52" i="2" s="1"/>
  <c r="Y52" i="2" l="1"/>
  <c r="W52" i="2"/>
  <c r="AA52" i="2" l="1"/>
  <c r="Z52" i="2"/>
  <c r="AJ52" i="2"/>
  <c r="N53" i="2" s="1"/>
  <c r="AI52" i="2"/>
  <c r="M53" i="2" s="1"/>
  <c r="AH52" i="2"/>
  <c r="L53" i="2" s="1"/>
  <c r="AC52" i="2" l="1"/>
  <c r="G53" i="2" s="1"/>
  <c r="AB52" i="2"/>
  <c r="F53" i="2" s="1"/>
  <c r="AD52" i="2"/>
  <c r="H53" i="2" s="1"/>
  <c r="AG52" i="2"/>
  <c r="K53" i="2" s="1"/>
  <c r="AF52" i="2"/>
  <c r="J53" i="2" s="1"/>
  <c r="AE52" i="2"/>
  <c r="I53" i="2" s="1"/>
  <c r="O53" i="2" l="1"/>
  <c r="P53" i="2" s="1"/>
  <c r="Q53" i="2"/>
  <c r="R53" i="2" s="1"/>
  <c r="S53" i="2" l="1"/>
  <c r="T53" i="2" s="1"/>
  <c r="V53" i="2" l="1"/>
  <c r="U53" i="2"/>
  <c r="X53" i="2" s="1"/>
  <c r="W53" i="2" l="1"/>
  <c r="Y53" i="2"/>
  <c r="Z53" i="2" l="1"/>
  <c r="AA53" i="2"/>
  <c r="AH53" i="2"/>
  <c r="L54" i="2" s="1"/>
  <c r="AI53" i="2"/>
  <c r="M54" i="2" s="1"/>
  <c r="AJ53" i="2"/>
  <c r="N54" i="2" s="1"/>
  <c r="AG53" i="2" l="1"/>
  <c r="K54" i="2" s="1"/>
  <c r="AE53" i="2"/>
  <c r="I54" i="2" s="1"/>
  <c r="AF53" i="2"/>
  <c r="J54" i="2" s="1"/>
  <c r="AD53" i="2"/>
  <c r="H54" i="2" s="1"/>
  <c r="AC53" i="2"/>
  <c r="G54" i="2" s="1"/>
  <c r="AB53" i="2"/>
  <c r="F54" i="2" s="1"/>
  <c r="Q54" i="2" l="1"/>
  <c r="R54" i="2" s="1"/>
  <c r="O54" i="2"/>
  <c r="P54" i="2" s="1"/>
  <c r="S54" i="2" s="1"/>
  <c r="T54" i="2" s="1"/>
  <c r="V54" i="2" l="1"/>
  <c r="U54" i="2"/>
  <c r="X54" i="2" s="1"/>
  <c r="Y54" i="2" l="1"/>
  <c r="W54" i="2"/>
  <c r="Z54" i="2" l="1"/>
  <c r="AA54" i="2"/>
  <c r="AJ54" i="2"/>
  <c r="N55" i="2" s="1"/>
  <c r="AH54" i="2"/>
  <c r="L55" i="2" s="1"/>
  <c r="AI54" i="2"/>
  <c r="M55" i="2" s="1"/>
  <c r="AF54" i="2" l="1"/>
  <c r="J55" i="2" s="1"/>
  <c r="AG54" i="2"/>
  <c r="K55" i="2" s="1"/>
  <c r="AE54" i="2"/>
  <c r="I55" i="2" s="1"/>
  <c r="AD54" i="2"/>
  <c r="H55" i="2" s="1"/>
  <c r="AB54" i="2"/>
  <c r="F55" i="2" s="1"/>
  <c r="AC54" i="2"/>
  <c r="G55" i="2" s="1"/>
  <c r="Q55" i="2" l="1"/>
  <c r="R55" i="2" s="1"/>
  <c r="O55" i="2"/>
  <c r="P55" i="2" s="1"/>
  <c r="S55" i="2" l="1"/>
  <c r="T55" i="2" s="1"/>
  <c r="V55" i="2" s="1"/>
  <c r="U55" i="2" l="1"/>
  <c r="X55" i="2" s="1"/>
  <c r="W55" i="2"/>
  <c r="Y55" i="2"/>
  <c r="AA55" i="2" l="1"/>
  <c r="Z55" i="2"/>
  <c r="AJ55" i="2"/>
  <c r="N56" i="2" s="1"/>
  <c r="AH55" i="2"/>
  <c r="L56" i="2" s="1"/>
  <c r="AI55" i="2"/>
  <c r="M56" i="2" s="1"/>
  <c r="AD55" i="2" l="1"/>
  <c r="H56" i="2" s="1"/>
  <c r="AC55" i="2"/>
  <c r="G56" i="2" s="1"/>
  <c r="AB55" i="2"/>
  <c r="F56" i="2" s="1"/>
  <c r="AE55" i="2"/>
  <c r="I56" i="2" s="1"/>
  <c r="AF55" i="2"/>
  <c r="J56" i="2" s="1"/>
  <c r="AG55" i="2"/>
  <c r="K56" i="2" s="1"/>
  <c r="Q56" i="2" l="1"/>
  <c r="R56" i="2" s="1"/>
  <c r="O56" i="2"/>
  <c r="P56" i="2" s="1"/>
  <c r="S56" i="2" s="1"/>
  <c r="T56" i="2" s="1"/>
  <c r="V56" i="2" l="1"/>
  <c r="U56" i="2"/>
  <c r="X56" i="2" s="1"/>
  <c r="Y56" i="2" l="1"/>
  <c r="W56" i="2"/>
  <c r="AA56" i="2" l="1"/>
  <c r="Z56" i="2"/>
  <c r="AI56" i="2"/>
  <c r="M57" i="2" s="1"/>
  <c r="AJ56" i="2"/>
  <c r="N57" i="2" s="1"/>
  <c r="AH56" i="2"/>
  <c r="L57" i="2" s="1"/>
  <c r="AB56" i="2" l="1"/>
  <c r="F57" i="2" s="1"/>
  <c r="AD56" i="2"/>
  <c r="H57" i="2" s="1"/>
  <c r="AC56" i="2"/>
  <c r="G57" i="2" s="1"/>
  <c r="AF56" i="2"/>
  <c r="J57" i="2" s="1"/>
  <c r="AE56" i="2"/>
  <c r="I57" i="2" s="1"/>
  <c r="AG56" i="2"/>
  <c r="K57" i="2" s="1"/>
  <c r="Q57" i="2" l="1"/>
  <c r="R57" i="2" s="1"/>
  <c r="O57" i="2"/>
  <c r="P57" i="2" s="1"/>
  <c r="S57" i="2" l="1"/>
  <c r="T57" i="2" s="1"/>
  <c r="V57" i="2" s="1"/>
  <c r="U57" i="2" l="1"/>
  <c r="X57" i="2" s="1"/>
  <c r="Y57" i="2"/>
  <c r="W57" i="2"/>
  <c r="AA57" i="2" l="1"/>
  <c r="Z57" i="2"/>
  <c r="AJ57" i="2"/>
  <c r="N58" i="2" s="1"/>
  <c r="AI57" i="2"/>
  <c r="M58" i="2" s="1"/>
  <c r="AH57" i="2"/>
  <c r="L58" i="2" s="1"/>
  <c r="AD57" i="2" l="1"/>
  <c r="H58" i="2" s="1"/>
  <c r="AC57" i="2"/>
  <c r="G58" i="2" s="1"/>
  <c r="AB57" i="2"/>
  <c r="F58" i="2" s="1"/>
  <c r="AF57" i="2"/>
  <c r="J58" i="2" s="1"/>
  <c r="AE57" i="2"/>
  <c r="I58" i="2" s="1"/>
  <c r="AG57" i="2"/>
  <c r="K58" i="2" s="1"/>
  <c r="O58" i="2" l="1"/>
  <c r="P58" i="2" s="1"/>
  <c r="Q58" i="2"/>
  <c r="R58" i="2" s="1"/>
  <c r="S58" i="2" l="1"/>
  <c r="T58" i="2" s="1"/>
  <c r="V58" i="2" l="1"/>
  <c r="U58" i="2"/>
  <c r="X58" i="2" s="1"/>
  <c r="W58" i="2" l="1"/>
  <c r="Y58" i="2"/>
  <c r="AA58" i="2" l="1"/>
  <c r="Z58" i="2"/>
  <c r="AI58" i="2"/>
  <c r="M59" i="2" s="1"/>
  <c r="AH58" i="2"/>
  <c r="L59" i="2" s="1"/>
  <c r="AJ58" i="2"/>
  <c r="N59" i="2" s="1"/>
  <c r="AC58" i="2" l="1"/>
  <c r="G59" i="2" s="1"/>
  <c r="AD58" i="2"/>
  <c r="H59" i="2" s="1"/>
  <c r="AB58" i="2"/>
  <c r="F59" i="2" s="1"/>
  <c r="AF58" i="2"/>
  <c r="J59" i="2" s="1"/>
  <c r="AE58" i="2"/>
  <c r="I59" i="2" s="1"/>
  <c r="AG58" i="2"/>
  <c r="K59" i="2" s="1"/>
  <c r="O59" i="2" l="1"/>
  <c r="P59" i="2" s="1"/>
  <c r="Q59" i="2"/>
  <c r="R59" i="2" s="1"/>
  <c r="S59" i="2" l="1"/>
  <c r="T59" i="2" s="1"/>
  <c r="V59" i="2" l="1"/>
  <c r="U59" i="2"/>
  <c r="X59" i="2" s="1"/>
  <c r="Y59" i="2" l="1"/>
  <c r="W59" i="2"/>
  <c r="Z59" i="2" l="1"/>
  <c r="AA59" i="2"/>
  <c r="AJ59" i="2"/>
  <c r="N60" i="2" s="1"/>
  <c r="AI59" i="2"/>
  <c r="M60" i="2" s="1"/>
  <c r="AH59" i="2"/>
  <c r="L60" i="2" s="1"/>
  <c r="AE59" i="2" l="1"/>
  <c r="I60" i="2" s="1"/>
  <c r="AF59" i="2"/>
  <c r="J60" i="2" s="1"/>
  <c r="AG59" i="2"/>
  <c r="K60" i="2" s="1"/>
  <c r="AB59" i="2"/>
  <c r="F60" i="2" s="1"/>
  <c r="AC59" i="2"/>
  <c r="G60" i="2" s="1"/>
  <c r="AD59" i="2"/>
  <c r="H60" i="2" s="1"/>
  <c r="O60" i="2" l="1"/>
  <c r="P60" i="2" s="1"/>
  <c r="Q60" i="2"/>
  <c r="R60" i="2" s="1"/>
  <c r="S60" i="2" l="1"/>
  <c r="T60" i="2" s="1"/>
  <c r="V60" i="2" l="1"/>
  <c r="U60" i="2"/>
  <c r="X60" i="2" s="1"/>
  <c r="W60" i="2" l="1"/>
  <c r="Y60" i="2"/>
  <c r="AA60" i="2" l="1"/>
  <c r="Z60" i="2"/>
  <c r="AH60" i="2"/>
  <c r="L61" i="2" s="1"/>
  <c r="AJ60" i="2"/>
  <c r="N61" i="2" s="1"/>
  <c r="AI60" i="2"/>
  <c r="M61" i="2" s="1"/>
  <c r="AC60" i="2" l="1"/>
  <c r="G61" i="2" s="1"/>
  <c r="AB60" i="2"/>
  <c r="F61" i="2" s="1"/>
  <c r="AD60" i="2"/>
  <c r="H61" i="2" s="1"/>
  <c r="AE60" i="2"/>
  <c r="I61" i="2" s="1"/>
  <c r="AF60" i="2"/>
  <c r="J61" i="2" s="1"/>
  <c r="AG60" i="2"/>
  <c r="K61" i="2" s="1"/>
  <c r="O61" i="2" l="1"/>
  <c r="P61" i="2" s="1"/>
  <c r="Q61" i="2"/>
  <c r="R61" i="2" s="1"/>
  <c r="S61" i="2" l="1"/>
  <c r="T61" i="2" s="1"/>
  <c r="V61" i="2" l="1"/>
  <c r="U61" i="2"/>
  <c r="X61" i="2" s="1"/>
  <c r="W61" i="2" l="1"/>
  <c r="Y61" i="2"/>
  <c r="AA61" i="2" l="1"/>
  <c r="Z61" i="2"/>
  <c r="AI61" i="2"/>
  <c r="M62" i="2" s="1"/>
  <c r="AJ61" i="2"/>
  <c r="N62" i="2" s="1"/>
  <c r="AH61" i="2"/>
  <c r="L62" i="2" s="1"/>
  <c r="AB61" i="2" l="1"/>
  <c r="F62" i="2" s="1"/>
  <c r="AD61" i="2"/>
  <c r="H62" i="2" s="1"/>
  <c r="AC61" i="2"/>
  <c r="G62" i="2" s="1"/>
  <c r="AG61" i="2"/>
  <c r="K62" i="2" s="1"/>
  <c r="AE61" i="2"/>
  <c r="I62" i="2" s="1"/>
  <c r="AF61" i="2"/>
  <c r="J62" i="2" s="1"/>
  <c r="O62" i="2" l="1"/>
  <c r="P62" i="2" s="1"/>
  <c r="Q62" i="2"/>
  <c r="R62" i="2" s="1"/>
  <c r="S62" i="2" l="1"/>
  <c r="T62" i="2" s="1"/>
  <c r="V62" i="2" l="1"/>
  <c r="U62" i="2"/>
  <c r="X62" i="2" s="1"/>
  <c r="Y62" i="2" l="1"/>
  <c r="W62" i="2"/>
  <c r="AA62" i="2" l="1"/>
  <c r="Z62" i="2"/>
  <c r="AJ62" i="2"/>
  <c r="N63" i="2" s="1"/>
  <c r="AH62" i="2"/>
  <c r="L63" i="2" s="1"/>
  <c r="AI62" i="2"/>
  <c r="M63" i="2" s="1"/>
  <c r="AC62" i="2" l="1"/>
  <c r="G63" i="2" s="1"/>
  <c r="AB62" i="2"/>
  <c r="F63" i="2" s="1"/>
  <c r="AD62" i="2"/>
  <c r="H63" i="2" s="1"/>
  <c r="AG62" i="2"/>
  <c r="K63" i="2" s="1"/>
  <c r="AF62" i="2"/>
  <c r="J63" i="2" s="1"/>
  <c r="AE62" i="2"/>
  <c r="I63" i="2" s="1"/>
  <c r="O63" i="2" l="1"/>
  <c r="P63" i="2" s="1"/>
  <c r="Q63" i="2"/>
  <c r="R63" i="2" s="1"/>
  <c r="S63" i="2" l="1"/>
  <c r="T63" i="2" s="1"/>
  <c r="V63" i="2" l="1"/>
  <c r="U63" i="2"/>
  <c r="X63" i="2" s="1"/>
  <c r="W63" i="2" l="1"/>
  <c r="Y63" i="2"/>
  <c r="AA63" i="2" l="1"/>
  <c r="Z63" i="2"/>
  <c r="AI63" i="2"/>
  <c r="M64" i="2" s="1"/>
  <c r="AH63" i="2"/>
  <c r="L64" i="2" s="1"/>
  <c r="AJ63" i="2"/>
  <c r="N64" i="2" s="1"/>
  <c r="AD63" i="2" l="1"/>
  <c r="H64" i="2" s="1"/>
  <c r="AB63" i="2"/>
  <c r="F64" i="2" s="1"/>
  <c r="AC63" i="2"/>
  <c r="G64" i="2" s="1"/>
  <c r="AE63" i="2"/>
  <c r="I64" i="2" s="1"/>
  <c r="AF63" i="2"/>
  <c r="J64" i="2" s="1"/>
  <c r="AG63" i="2"/>
  <c r="K64" i="2" s="1"/>
  <c r="Q64" i="2" l="1"/>
  <c r="R64" i="2" s="1"/>
  <c r="O64" i="2"/>
  <c r="P64" i="2" s="1"/>
  <c r="S64" i="2" s="1"/>
  <c r="T64" i="2" s="1"/>
  <c r="V64" i="2" l="1"/>
  <c r="U64" i="2"/>
  <c r="X64" i="2" s="1"/>
  <c r="W64" i="2" l="1"/>
  <c r="Y64" i="2"/>
  <c r="Z64" i="2" l="1"/>
  <c r="AA64" i="2"/>
  <c r="AH64" i="2"/>
  <c r="L65" i="2" s="1"/>
  <c r="AJ64" i="2"/>
  <c r="N65" i="2" s="1"/>
  <c r="AI64" i="2"/>
  <c r="M65" i="2" s="1"/>
  <c r="AG64" i="2" l="1"/>
  <c r="K65" i="2" s="1"/>
  <c r="AE64" i="2"/>
  <c r="I65" i="2" s="1"/>
  <c r="AF64" i="2"/>
  <c r="J65" i="2" s="1"/>
  <c r="AD64" i="2"/>
  <c r="H65" i="2" s="1"/>
  <c r="AB64" i="2"/>
  <c r="F65" i="2" s="1"/>
  <c r="AC64" i="2"/>
  <c r="G65" i="2" s="1"/>
  <c r="O65" i="2" l="1"/>
  <c r="P65" i="2" s="1"/>
  <c r="Q65" i="2"/>
  <c r="R65" i="2" s="1"/>
  <c r="S65" i="2" l="1"/>
  <c r="T65" i="2" s="1"/>
  <c r="V65" i="2" l="1"/>
  <c r="U65" i="2"/>
  <c r="X65" i="2" s="1"/>
  <c r="W65" i="2" l="1"/>
  <c r="Y65" i="2"/>
  <c r="AA65" i="2" l="1"/>
  <c r="Z65" i="2"/>
  <c r="AI65" i="2"/>
  <c r="M66" i="2" s="1"/>
  <c r="AJ65" i="2"/>
  <c r="N66" i="2" s="1"/>
  <c r="AH65" i="2"/>
  <c r="L66" i="2" s="1"/>
  <c r="AD65" i="2" l="1"/>
  <c r="H66" i="2" s="1"/>
  <c r="AB65" i="2"/>
  <c r="F66" i="2" s="1"/>
  <c r="AC65" i="2"/>
  <c r="G66" i="2" s="1"/>
  <c r="AE65" i="2"/>
  <c r="I66" i="2" s="1"/>
  <c r="AG65" i="2"/>
  <c r="K66" i="2" s="1"/>
  <c r="AF65" i="2"/>
  <c r="J66" i="2" s="1"/>
  <c r="Q66" i="2" l="1"/>
  <c r="R66" i="2" s="1"/>
  <c r="O66" i="2"/>
  <c r="P66" i="2" s="1"/>
  <c r="S66" i="2" l="1"/>
  <c r="T66" i="2" s="1"/>
  <c r="V66" i="2" s="1"/>
  <c r="U66" i="2" l="1"/>
  <c r="X66" i="2" s="1"/>
  <c r="Y66" i="2"/>
  <c r="W66" i="2"/>
  <c r="AA66" i="2" l="1"/>
  <c r="Z66" i="2"/>
  <c r="AJ66" i="2"/>
  <c r="N67" i="2" s="1"/>
  <c r="AH66" i="2"/>
  <c r="L67" i="2" s="1"/>
  <c r="AI66" i="2"/>
  <c r="M67" i="2" s="1"/>
  <c r="AD66" i="2" l="1"/>
  <c r="H67" i="2" s="1"/>
  <c r="AB66" i="2"/>
  <c r="F67" i="2" s="1"/>
  <c r="AC66" i="2"/>
  <c r="G67" i="2" s="1"/>
  <c r="AE66" i="2"/>
  <c r="I67" i="2" s="1"/>
  <c r="AF66" i="2"/>
  <c r="J67" i="2" s="1"/>
  <c r="AG66" i="2"/>
  <c r="K67" i="2" s="1"/>
  <c r="Q67" i="2" l="1"/>
  <c r="R67" i="2" s="1"/>
  <c r="O67" i="2"/>
  <c r="P67" i="2" s="1"/>
  <c r="S67" i="2" s="1"/>
  <c r="T67" i="2" s="1"/>
  <c r="V67" i="2" l="1"/>
  <c r="U67" i="2"/>
  <c r="X67" i="2" s="1"/>
  <c r="W67" i="2" l="1"/>
  <c r="Y67" i="2"/>
  <c r="AA67" i="2" l="1"/>
  <c r="Z67" i="2"/>
  <c r="AI67" i="2"/>
  <c r="M68" i="2" s="1"/>
  <c r="AH67" i="2"/>
  <c r="L68" i="2" s="1"/>
  <c r="AJ67" i="2"/>
  <c r="N68" i="2" s="1"/>
  <c r="AD67" i="2" l="1"/>
  <c r="H68" i="2" s="1"/>
  <c r="AC67" i="2"/>
  <c r="G68" i="2" s="1"/>
  <c r="AB67" i="2"/>
  <c r="F68" i="2" s="1"/>
  <c r="AE67" i="2"/>
  <c r="I68" i="2" s="1"/>
  <c r="AG67" i="2"/>
  <c r="K68" i="2" s="1"/>
  <c r="AF67" i="2"/>
  <c r="J68" i="2" s="1"/>
  <c r="Q68" i="2" l="1"/>
  <c r="R68" i="2" s="1"/>
  <c r="O68" i="2"/>
  <c r="P68" i="2" s="1"/>
  <c r="S68" i="2" s="1"/>
  <c r="T68" i="2" s="1"/>
  <c r="V68" i="2" l="1"/>
  <c r="U68" i="2"/>
  <c r="X68" i="2" s="1"/>
  <c r="W68" i="2" l="1"/>
  <c r="Y68" i="2"/>
  <c r="Z68" i="2" l="1"/>
  <c r="AA68" i="2"/>
  <c r="AJ68" i="2"/>
  <c r="N69" i="2" s="1"/>
  <c r="AH68" i="2"/>
  <c r="L69" i="2" s="1"/>
  <c r="AI68" i="2"/>
  <c r="M69" i="2" s="1"/>
  <c r="AF68" i="2" l="1"/>
  <c r="J69" i="2" s="1"/>
  <c r="AE68" i="2"/>
  <c r="I69" i="2" s="1"/>
  <c r="AG68" i="2"/>
  <c r="K69" i="2" s="1"/>
  <c r="AD68" i="2"/>
  <c r="H69" i="2" s="1"/>
  <c r="AC68" i="2"/>
  <c r="G69" i="2" s="1"/>
  <c r="AB68" i="2"/>
  <c r="F69" i="2" s="1"/>
  <c r="Q69" i="2" l="1"/>
  <c r="R69" i="2" s="1"/>
  <c r="O69" i="2"/>
  <c r="P69" i="2" s="1"/>
  <c r="S69" i="2" l="1"/>
  <c r="T69" i="2" s="1"/>
  <c r="V69" i="2"/>
  <c r="U69" i="2"/>
  <c r="X69" i="2" s="1"/>
  <c r="Y69" i="2" l="1"/>
  <c r="W69" i="2"/>
  <c r="Z69" i="2" l="1"/>
  <c r="AA69" i="2"/>
  <c r="AI69" i="2"/>
  <c r="M70" i="2" s="1"/>
  <c r="AH69" i="2"/>
  <c r="L70" i="2" s="1"/>
  <c r="AJ69" i="2"/>
  <c r="N70" i="2" s="1"/>
  <c r="AG69" i="2" l="1"/>
  <c r="K70" i="2" s="1"/>
  <c r="AE69" i="2"/>
  <c r="I70" i="2" s="1"/>
  <c r="AF69" i="2"/>
  <c r="J70" i="2" s="1"/>
  <c r="AD69" i="2"/>
  <c r="H70" i="2" s="1"/>
  <c r="AC69" i="2"/>
  <c r="G70" i="2" s="1"/>
  <c r="AB69" i="2"/>
  <c r="F70" i="2" s="1"/>
  <c r="Q70" i="2" l="1"/>
  <c r="R70" i="2" s="1"/>
  <c r="O70" i="2"/>
  <c r="P70" i="2" s="1"/>
  <c r="S70" i="2" s="1"/>
  <c r="T70" i="2" s="1"/>
  <c r="V70" i="2" l="1"/>
  <c r="U70" i="2"/>
  <c r="X70" i="2" s="1"/>
  <c r="W70" i="2" l="1"/>
  <c r="Y70" i="2"/>
  <c r="AA70" i="2" l="1"/>
  <c r="Z70" i="2"/>
  <c r="AJ70" i="2"/>
  <c r="N71" i="2" s="1"/>
  <c r="AH70" i="2"/>
  <c r="L71" i="2" s="1"/>
  <c r="AI70" i="2"/>
  <c r="M71" i="2" s="1"/>
  <c r="AD70" i="2" l="1"/>
  <c r="H71" i="2" s="1"/>
  <c r="AC70" i="2"/>
  <c r="G71" i="2" s="1"/>
  <c r="AB70" i="2"/>
  <c r="F71" i="2" s="1"/>
  <c r="AF70" i="2"/>
  <c r="J71" i="2" s="1"/>
  <c r="AE70" i="2"/>
  <c r="I71" i="2" s="1"/>
  <c r="AG70" i="2"/>
  <c r="K71" i="2" s="1"/>
  <c r="O71" i="2" l="1"/>
  <c r="P71" i="2" s="1"/>
  <c r="Q71" i="2"/>
  <c r="R71" i="2" s="1"/>
  <c r="S71" i="2" l="1"/>
  <c r="T71" i="2" s="1"/>
  <c r="V71" i="2" l="1"/>
  <c r="U71" i="2"/>
  <c r="X71" i="2" s="1"/>
  <c r="Y71" i="2" l="1"/>
  <c r="W71" i="2"/>
  <c r="AA71" i="2" l="1"/>
  <c r="Z71" i="2"/>
  <c r="AI71" i="2"/>
  <c r="M72" i="2" s="1"/>
  <c r="AH71" i="2"/>
  <c r="L72" i="2" s="1"/>
  <c r="AJ71" i="2"/>
  <c r="N72" i="2" s="1"/>
  <c r="AB71" i="2" l="1"/>
  <c r="F72" i="2" s="1"/>
  <c r="AD71" i="2"/>
  <c r="H72" i="2" s="1"/>
  <c r="AC71" i="2"/>
  <c r="G72" i="2" s="1"/>
  <c r="AG71" i="2"/>
  <c r="K72" i="2" s="1"/>
  <c r="AF71" i="2"/>
  <c r="J72" i="2" s="1"/>
  <c r="AE71" i="2"/>
  <c r="I72" i="2" s="1"/>
  <c r="O72" i="2" l="1"/>
  <c r="P72" i="2" s="1"/>
  <c r="Q72" i="2"/>
  <c r="R72" i="2" s="1"/>
  <c r="S72" i="2" l="1"/>
  <c r="T72" i="2" s="1"/>
  <c r="V72" i="2" l="1"/>
  <c r="U72" i="2"/>
  <c r="X72" i="2" s="1"/>
  <c r="Y72" i="2" l="1"/>
  <c r="W72" i="2"/>
  <c r="Z72" i="2" l="1"/>
  <c r="AA72" i="2"/>
  <c r="AJ72" i="2"/>
  <c r="N73" i="2" s="1"/>
  <c r="AH72" i="2"/>
  <c r="L73" i="2" s="1"/>
  <c r="AI72" i="2"/>
  <c r="M73" i="2" s="1"/>
  <c r="AG72" i="2" l="1"/>
  <c r="K73" i="2" s="1"/>
  <c r="AE72" i="2"/>
  <c r="I73" i="2" s="1"/>
  <c r="AF72" i="2"/>
  <c r="J73" i="2" s="1"/>
  <c r="AC72" i="2"/>
  <c r="G73" i="2" s="1"/>
  <c r="AD72" i="2"/>
  <c r="H73" i="2" s="1"/>
  <c r="AB72" i="2"/>
  <c r="F73" i="2" s="1"/>
  <c r="Q73" i="2" l="1"/>
  <c r="R73" i="2" s="1"/>
  <c r="O73" i="2"/>
  <c r="P73" i="2" s="1"/>
  <c r="S73" i="2" l="1"/>
  <c r="T73" i="2" s="1"/>
  <c r="V73" i="2" s="1"/>
  <c r="U73" i="2" l="1"/>
  <c r="X73" i="2" s="1"/>
  <c r="Y73" i="2"/>
  <c r="W73" i="2"/>
  <c r="AA73" i="2" l="1"/>
  <c r="Z73" i="2"/>
  <c r="AH73" i="2"/>
  <c r="L74" i="2" s="1"/>
  <c r="AI73" i="2"/>
  <c r="M74" i="2" s="1"/>
  <c r="AJ73" i="2"/>
  <c r="N74" i="2" s="1"/>
  <c r="AC73" i="2" l="1"/>
  <c r="G74" i="2" s="1"/>
  <c r="AD73" i="2"/>
  <c r="H74" i="2" s="1"/>
  <c r="AB73" i="2"/>
  <c r="F74" i="2" s="1"/>
  <c r="AF73" i="2"/>
  <c r="J74" i="2" s="1"/>
  <c r="AE73" i="2"/>
  <c r="I74" i="2" s="1"/>
  <c r="AG73" i="2"/>
  <c r="K74" i="2" s="1"/>
  <c r="O74" i="2" l="1"/>
  <c r="P74" i="2" s="1"/>
  <c r="Q74" i="2"/>
  <c r="R74" i="2" s="1"/>
  <c r="S74" i="2" l="1"/>
  <c r="T74" i="2" s="1"/>
  <c r="V74" i="2" l="1"/>
  <c r="U74" i="2"/>
  <c r="X74" i="2" s="1"/>
  <c r="Y74" i="2" l="1"/>
  <c r="W74" i="2"/>
  <c r="Z74" i="2" l="1"/>
  <c r="AA74" i="2"/>
  <c r="AJ74" i="2"/>
  <c r="N75" i="2" s="1"/>
  <c r="AI74" i="2"/>
  <c r="M75" i="2" s="1"/>
  <c r="AH74" i="2"/>
  <c r="L75" i="2" s="1"/>
  <c r="AG74" i="2" l="1"/>
  <c r="K75" i="2" s="1"/>
  <c r="AF74" i="2"/>
  <c r="J75" i="2" s="1"/>
  <c r="AE74" i="2"/>
  <c r="I75" i="2" s="1"/>
  <c r="AD74" i="2"/>
  <c r="H75" i="2" s="1"/>
  <c r="AB74" i="2"/>
  <c r="F75" i="2" s="1"/>
  <c r="AC74" i="2"/>
  <c r="G75" i="2" s="1"/>
  <c r="Q75" i="2" l="1"/>
  <c r="R75" i="2" s="1"/>
  <c r="O75" i="2"/>
  <c r="P75" i="2" s="1"/>
  <c r="S75" i="2" l="1"/>
  <c r="T75" i="2" s="1"/>
  <c r="V75" i="2" s="1"/>
  <c r="U75" i="2"/>
  <c r="X75" i="2" s="1"/>
  <c r="Y75" i="2" l="1"/>
  <c r="W75" i="2"/>
  <c r="AA75" i="2" l="1"/>
  <c r="Z75" i="2"/>
  <c r="AH75" i="2"/>
  <c r="L76" i="2" s="1"/>
  <c r="AI75" i="2"/>
  <c r="M76" i="2" s="1"/>
  <c r="AJ75" i="2"/>
  <c r="N76" i="2" s="1"/>
  <c r="AD75" i="2" l="1"/>
  <c r="H76" i="2" s="1"/>
  <c r="AC75" i="2"/>
  <c r="G76" i="2" s="1"/>
  <c r="AB75" i="2"/>
  <c r="F76" i="2" s="1"/>
  <c r="AE75" i="2"/>
  <c r="I76" i="2" s="1"/>
  <c r="AG75" i="2"/>
  <c r="K76" i="2" s="1"/>
  <c r="AF75" i="2"/>
  <c r="J76" i="2" s="1"/>
  <c r="Q76" i="2" l="1"/>
  <c r="R76" i="2" s="1"/>
  <c r="O76" i="2"/>
  <c r="P76" i="2" s="1"/>
  <c r="S76" i="2" s="1"/>
  <c r="T76" i="2" s="1"/>
  <c r="V76" i="2" l="1"/>
  <c r="U76" i="2"/>
  <c r="X76" i="2" s="1"/>
  <c r="W76" i="2" l="1"/>
  <c r="Y76" i="2"/>
  <c r="AA76" i="2" l="1"/>
  <c r="Z76" i="2"/>
  <c r="AJ76" i="2"/>
  <c r="N77" i="2" s="1"/>
  <c r="AI76" i="2"/>
  <c r="M77" i="2" s="1"/>
  <c r="AH76" i="2"/>
  <c r="L77" i="2" s="1"/>
  <c r="AB76" i="2" l="1"/>
  <c r="F77" i="2" s="1"/>
  <c r="AD76" i="2"/>
  <c r="H77" i="2" s="1"/>
  <c r="AC76" i="2"/>
  <c r="G77" i="2" s="1"/>
  <c r="AG76" i="2"/>
  <c r="K77" i="2" s="1"/>
  <c r="AE76" i="2"/>
  <c r="I77" i="2" s="1"/>
  <c r="AF76" i="2"/>
  <c r="J77" i="2" s="1"/>
  <c r="O77" i="2" l="1"/>
  <c r="P77" i="2" s="1"/>
  <c r="Q77" i="2"/>
  <c r="R77" i="2" s="1"/>
  <c r="S77" i="2" l="1"/>
  <c r="T77" i="2" s="1"/>
  <c r="V77" i="2" l="1"/>
  <c r="U77" i="2"/>
  <c r="X77" i="2" s="1"/>
  <c r="Y77" i="2" l="1"/>
  <c r="W77" i="2"/>
  <c r="AA77" i="2" l="1"/>
  <c r="Z77" i="2"/>
  <c r="AJ77" i="2"/>
  <c r="N78" i="2" s="1"/>
  <c r="AI77" i="2"/>
  <c r="M78" i="2" s="1"/>
  <c r="AH77" i="2"/>
  <c r="L78" i="2" s="1"/>
  <c r="AD77" i="2" l="1"/>
  <c r="H78" i="2" s="1"/>
  <c r="AB77" i="2"/>
  <c r="F78" i="2" s="1"/>
  <c r="AC77" i="2"/>
  <c r="G78" i="2" s="1"/>
  <c r="AG77" i="2"/>
  <c r="K78" i="2" s="1"/>
  <c r="AE77" i="2"/>
  <c r="I78" i="2" s="1"/>
  <c r="AF77" i="2"/>
  <c r="J78" i="2" s="1"/>
  <c r="O78" i="2" l="1"/>
  <c r="P78" i="2" s="1"/>
  <c r="Q78" i="2"/>
  <c r="R78" i="2" s="1"/>
  <c r="S78" i="2" l="1"/>
  <c r="T78" i="2" s="1"/>
  <c r="V78" i="2" l="1"/>
  <c r="U78" i="2"/>
  <c r="X78" i="2" s="1"/>
  <c r="W78" i="2" l="1"/>
  <c r="Y78" i="2"/>
  <c r="Z78" i="2" l="1"/>
  <c r="AA78" i="2"/>
  <c r="AJ78" i="2"/>
  <c r="N79" i="2" s="1"/>
  <c r="AH78" i="2"/>
  <c r="L79" i="2" s="1"/>
  <c r="AI78" i="2"/>
  <c r="M79" i="2" s="1"/>
  <c r="AF78" i="2" l="1"/>
  <c r="J79" i="2" s="1"/>
  <c r="AG78" i="2"/>
  <c r="K79" i="2" s="1"/>
  <c r="AE78" i="2"/>
  <c r="I79" i="2" s="1"/>
  <c r="AC78" i="2"/>
  <c r="G79" i="2" s="1"/>
  <c r="AB78" i="2"/>
  <c r="F79" i="2" s="1"/>
  <c r="AD78" i="2"/>
  <c r="H79" i="2" s="1"/>
  <c r="Q79" i="2" l="1"/>
  <c r="R79" i="2" s="1"/>
  <c r="O79" i="2"/>
  <c r="P79" i="2" s="1"/>
  <c r="S79" i="2" s="1"/>
  <c r="T79" i="2" s="1"/>
  <c r="V79" i="2" l="1"/>
  <c r="U79" i="2"/>
  <c r="X79" i="2" s="1"/>
  <c r="Y79" i="2" l="1"/>
  <c r="W79" i="2"/>
  <c r="AA79" i="2" l="1"/>
  <c r="Z79" i="2"/>
  <c r="AI79" i="2"/>
  <c r="M80" i="2" s="1"/>
  <c r="AH79" i="2"/>
  <c r="L80" i="2" s="1"/>
  <c r="AJ79" i="2"/>
  <c r="N80" i="2" s="1"/>
  <c r="AC79" i="2" l="1"/>
  <c r="G80" i="2" s="1"/>
  <c r="AD79" i="2"/>
  <c r="H80" i="2" s="1"/>
  <c r="AB79" i="2"/>
  <c r="F80" i="2" s="1"/>
  <c r="AE79" i="2"/>
  <c r="I80" i="2" s="1"/>
  <c r="AF79" i="2"/>
  <c r="J80" i="2" s="1"/>
  <c r="AG79" i="2"/>
  <c r="K80" i="2" s="1"/>
  <c r="Q80" i="2" l="1"/>
  <c r="R80" i="2" s="1"/>
  <c r="O80" i="2"/>
  <c r="P80" i="2" s="1"/>
  <c r="S80" i="2" s="1"/>
  <c r="T80" i="2" s="1"/>
  <c r="V80" i="2" l="1"/>
  <c r="U80" i="2"/>
  <c r="X80" i="2" s="1"/>
  <c r="W80" i="2" l="1"/>
  <c r="Y80" i="2"/>
  <c r="AA80" i="2" l="1"/>
  <c r="Z80" i="2"/>
  <c r="AJ80" i="2"/>
  <c r="N81" i="2" s="1"/>
  <c r="AH80" i="2"/>
  <c r="L81" i="2" s="1"/>
  <c r="AI80" i="2"/>
  <c r="M81" i="2" s="1"/>
  <c r="AD80" i="2" l="1"/>
  <c r="H81" i="2" s="1"/>
  <c r="AB80" i="2"/>
  <c r="F81" i="2" s="1"/>
  <c r="AC80" i="2"/>
  <c r="G81" i="2" s="1"/>
  <c r="AG80" i="2"/>
  <c r="K81" i="2" s="1"/>
  <c r="AE80" i="2"/>
  <c r="I81" i="2" s="1"/>
  <c r="AF80" i="2"/>
  <c r="J81" i="2" s="1"/>
  <c r="O81" i="2" l="1"/>
  <c r="P81" i="2" s="1"/>
  <c r="Q81" i="2"/>
  <c r="R81" i="2" s="1"/>
  <c r="S81" i="2" l="1"/>
  <c r="T81" i="2" s="1"/>
  <c r="V81" i="2" l="1"/>
  <c r="U81" i="2"/>
  <c r="X81" i="2" s="1"/>
  <c r="Y81" i="2" l="1"/>
  <c r="W81" i="2"/>
  <c r="AA81" i="2" l="1"/>
  <c r="Z81" i="2"/>
  <c r="AI81" i="2"/>
  <c r="M82" i="2" s="1"/>
  <c r="AH81" i="2"/>
  <c r="L82" i="2" s="1"/>
  <c r="AJ81" i="2"/>
  <c r="N82" i="2" s="1"/>
  <c r="AB81" i="2" l="1"/>
  <c r="F82" i="2" s="1"/>
  <c r="AD81" i="2"/>
  <c r="H82" i="2" s="1"/>
  <c r="AC81" i="2"/>
  <c r="G82" i="2" s="1"/>
  <c r="AG81" i="2"/>
  <c r="K82" i="2" s="1"/>
  <c r="AF81" i="2"/>
  <c r="J82" i="2" s="1"/>
  <c r="AE81" i="2"/>
  <c r="I82" i="2" s="1"/>
  <c r="Q82" i="2" l="1"/>
  <c r="R82" i="2" s="1"/>
  <c r="O82" i="2"/>
  <c r="P82" i="2" s="1"/>
  <c r="S82" i="2" s="1"/>
  <c r="T82" i="2" s="1"/>
  <c r="V82" i="2" l="1"/>
  <c r="U82" i="2"/>
  <c r="X82" i="2" s="1"/>
  <c r="Y82" i="2" l="1"/>
  <c r="W82" i="2"/>
  <c r="Z82" i="2" l="1"/>
  <c r="AA82" i="2"/>
  <c r="AJ82" i="2"/>
  <c r="N83" i="2" s="1"/>
  <c r="AI82" i="2"/>
  <c r="M83" i="2" s="1"/>
  <c r="AH82" i="2"/>
  <c r="L83" i="2" s="1"/>
  <c r="AE82" i="2" l="1"/>
  <c r="I83" i="2" s="1"/>
  <c r="AG82" i="2"/>
  <c r="K83" i="2" s="1"/>
  <c r="AF82" i="2"/>
  <c r="J83" i="2" s="1"/>
  <c r="AD82" i="2"/>
  <c r="H83" i="2" s="1"/>
  <c r="AB82" i="2"/>
  <c r="F83" i="2" s="1"/>
  <c r="AC82" i="2"/>
  <c r="G83" i="2" s="1"/>
  <c r="O83" i="2" l="1"/>
  <c r="P83" i="2" s="1"/>
  <c r="Q83" i="2"/>
  <c r="R83" i="2" s="1"/>
  <c r="S83" i="2" l="1"/>
  <c r="T83" i="2" s="1"/>
  <c r="V83" i="2" l="1"/>
  <c r="U83" i="2"/>
  <c r="X83" i="2" s="1"/>
  <c r="Y83" i="2" l="1"/>
  <c r="W83" i="2"/>
  <c r="AA83" i="2" l="1"/>
  <c r="Z83" i="2"/>
  <c r="AI83" i="2"/>
  <c r="M84" i="2" s="1"/>
  <c r="AH83" i="2"/>
  <c r="L84" i="2" s="1"/>
  <c r="AJ83" i="2"/>
  <c r="N84" i="2" s="1"/>
  <c r="AD83" i="2" l="1"/>
  <c r="H84" i="2" s="1"/>
  <c r="AB83" i="2"/>
  <c r="F84" i="2" s="1"/>
  <c r="AC83" i="2"/>
  <c r="G84" i="2" s="1"/>
  <c r="AE83" i="2"/>
  <c r="I84" i="2" s="1"/>
  <c r="AG83" i="2"/>
  <c r="K84" i="2" s="1"/>
  <c r="AF83" i="2"/>
  <c r="J84" i="2" s="1"/>
  <c r="Q84" i="2" l="1"/>
  <c r="R84" i="2" s="1"/>
  <c r="O84" i="2"/>
  <c r="P84" i="2" s="1"/>
  <c r="S84" i="2" s="1"/>
  <c r="T84" i="2" s="1"/>
  <c r="V84" i="2" l="1"/>
  <c r="U84" i="2"/>
  <c r="X84" i="2" s="1"/>
  <c r="W84" i="2" l="1"/>
  <c r="Y84" i="2"/>
  <c r="Z84" i="2" l="1"/>
  <c r="AA84" i="2"/>
  <c r="AI84" i="2"/>
  <c r="M85" i="2" s="1"/>
  <c r="AJ84" i="2"/>
  <c r="N85" i="2" s="1"/>
  <c r="AH84" i="2"/>
  <c r="L85" i="2" s="1"/>
  <c r="AE84" i="2" l="1"/>
  <c r="I85" i="2" s="1"/>
  <c r="AF84" i="2"/>
  <c r="J85" i="2" s="1"/>
  <c r="AG84" i="2"/>
  <c r="K85" i="2" s="1"/>
  <c r="AC84" i="2"/>
  <c r="G85" i="2" s="1"/>
  <c r="AB84" i="2"/>
  <c r="F85" i="2" s="1"/>
  <c r="AD84" i="2"/>
  <c r="H85" i="2" s="1"/>
  <c r="Q85" i="2" l="1"/>
  <c r="R85" i="2" s="1"/>
  <c r="O85" i="2"/>
  <c r="P85" i="2" s="1"/>
  <c r="S85" i="2" l="1"/>
  <c r="T85" i="2" s="1"/>
  <c r="V85" i="2" s="1"/>
  <c r="U85" i="2" l="1"/>
  <c r="X85" i="2" s="1"/>
  <c r="Y85" i="2"/>
  <c r="W85" i="2"/>
  <c r="Z85" i="2" l="1"/>
  <c r="AA85" i="2"/>
  <c r="AI85" i="2"/>
  <c r="M86" i="2" s="1"/>
  <c r="AJ85" i="2"/>
  <c r="N86" i="2" s="1"/>
  <c r="AH85" i="2"/>
  <c r="L86" i="2" s="1"/>
  <c r="AG85" i="2" l="1"/>
  <c r="K86" i="2" s="1"/>
  <c r="AE85" i="2"/>
  <c r="I86" i="2" s="1"/>
  <c r="AF85" i="2"/>
  <c r="J86" i="2" s="1"/>
  <c r="AC85" i="2"/>
  <c r="G86" i="2" s="1"/>
  <c r="AD85" i="2"/>
  <c r="H86" i="2" s="1"/>
  <c r="AB85" i="2"/>
  <c r="F86" i="2" s="1"/>
  <c r="Q86" i="2" l="1"/>
  <c r="R86" i="2" s="1"/>
  <c r="O86" i="2"/>
  <c r="P86" i="2" s="1"/>
  <c r="S86" i="2" l="1"/>
  <c r="T86" i="2" s="1"/>
  <c r="V86" i="2"/>
  <c r="U86" i="2"/>
  <c r="X86" i="2" s="1"/>
  <c r="Y86" i="2" l="1"/>
  <c r="W86" i="2"/>
  <c r="Z86" i="2" l="1"/>
  <c r="AA86" i="2"/>
  <c r="AJ86" i="2"/>
  <c r="N87" i="2" s="1"/>
  <c r="AH86" i="2"/>
  <c r="L87" i="2" s="1"/>
  <c r="AI86" i="2"/>
  <c r="M87" i="2" s="1"/>
  <c r="AG86" i="2" l="1"/>
  <c r="K87" i="2" s="1"/>
  <c r="AE86" i="2"/>
  <c r="I87" i="2" s="1"/>
  <c r="AF86" i="2"/>
  <c r="J87" i="2" s="1"/>
  <c r="AC86" i="2"/>
  <c r="G87" i="2" s="1"/>
  <c r="AB86" i="2"/>
  <c r="F87" i="2" s="1"/>
  <c r="AD86" i="2"/>
  <c r="H87" i="2" s="1"/>
  <c r="Q87" i="2" l="1"/>
  <c r="R87" i="2" s="1"/>
  <c r="O87" i="2"/>
  <c r="P87" i="2" s="1"/>
  <c r="S87" i="2" s="1"/>
  <c r="T87" i="2" s="1"/>
  <c r="V87" i="2" l="1"/>
  <c r="U87" i="2"/>
  <c r="X87" i="2" s="1"/>
  <c r="Y87" i="2" l="1"/>
  <c r="W87" i="2"/>
  <c r="Z87" i="2" l="1"/>
  <c r="AA87" i="2"/>
  <c r="AI87" i="2"/>
  <c r="M88" i="2" s="1"/>
  <c r="AJ87" i="2"/>
  <c r="N88" i="2" s="1"/>
  <c r="AH87" i="2"/>
  <c r="L88" i="2" s="1"/>
  <c r="AF87" i="2" l="1"/>
  <c r="J88" i="2" s="1"/>
  <c r="AG87" i="2"/>
  <c r="K88" i="2" s="1"/>
  <c r="AE87" i="2"/>
  <c r="I88" i="2" s="1"/>
  <c r="AD87" i="2"/>
  <c r="H88" i="2" s="1"/>
  <c r="AC87" i="2"/>
  <c r="G88" i="2" s="1"/>
  <c r="AB87" i="2"/>
  <c r="F88" i="2" s="1"/>
  <c r="Q88" i="2" l="1"/>
  <c r="R88" i="2" s="1"/>
  <c r="O88" i="2"/>
  <c r="P88" i="2" s="1"/>
  <c r="S88" i="2" l="1"/>
  <c r="T88" i="2" s="1"/>
  <c r="V88" i="2" s="1"/>
  <c r="U88" i="2" l="1"/>
  <c r="X88" i="2" s="1"/>
  <c r="W88" i="2"/>
  <c r="Y88" i="2"/>
  <c r="AA88" i="2" l="1"/>
  <c r="Z88" i="2"/>
  <c r="AJ88" i="2"/>
  <c r="N89" i="2" s="1"/>
  <c r="AI88" i="2"/>
  <c r="M89" i="2" s="1"/>
  <c r="AH88" i="2"/>
  <c r="L89" i="2" s="1"/>
  <c r="AD88" i="2" l="1"/>
  <c r="H89" i="2" s="1"/>
  <c r="AC88" i="2"/>
  <c r="G89" i="2" s="1"/>
  <c r="AB88" i="2"/>
  <c r="F89" i="2" s="1"/>
  <c r="AG88" i="2"/>
  <c r="K89" i="2" s="1"/>
  <c r="AF88" i="2"/>
  <c r="J89" i="2" s="1"/>
  <c r="AE88" i="2"/>
  <c r="I89" i="2" s="1"/>
  <c r="O89" i="2" l="1"/>
  <c r="P89" i="2" s="1"/>
  <c r="Q89" i="2"/>
  <c r="R89" i="2" s="1"/>
  <c r="S89" i="2" l="1"/>
  <c r="T89" i="2" s="1"/>
  <c r="V89" i="2" l="1"/>
  <c r="U89" i="2"/>
  <c r="X89" i="2" s="1"/>
  <c r="Y89" i="2" l="1"/>
  <c r="W89" i="2"/>
  <c r="Z89" i="2" l="1"/>
  <c r="AA89" i="2"/>
  <c r="AI89" i="2"/>
  <c r="M90" i="2" s="1"/>
  <c r="AH89" i="2"/>
  <c r="L90" i="2" s="1"/>
  <c r="AJ89" i="2"/>
  <c r="N90" i="2" s="1"/>
  <c r="AG89" i="2" l="1"/>
  <c r="K90" i="2" s="1"/>
  <c r="AE89" i="2"/>
  <c r="I90" i="2" s="1"/>
  <c r="AF89" i="2"/>
  <c r="J90" i="2" s="1"/>
  <c r="AB89" i="2"/>
  <c r="F90" i="2" s="1"/>
  <c r="AD89" i="2"/>
  <c r="H90" i="2" s="1"/>
  <c r="AC89" i="2"/>
  <c r="G90" i="2" s="1"/>
  <c r="O90" i="2" l="1"/>
  <c r="P90" i="2" s="1"/>
  <c r="Q90" i="2"/>
  <c r="R90" i="2" s="1"/>
  <c r="S90" i="2" l="1"/>
  <c r="T90" i="2" s="1"/>
  <c r="V90" i="2" l="1"/>
  <c r="U90" i="2"/>
  <c r="X90" i="2" s="1"/>
  <c r="Y90" i="2" l="1"/>
  <c r="W90" i="2"/>
  <c r="Z90" i="2" l="1"/>
  <c r="AA90" i="2"/>
  <c r="AH90" i="2"/>
  <c r="L91" i="2" s="1"/>
  <c r="AJ90" i="2"/>
  <c r="N91" i="2" s="1"/>
  <c r="AI90" i="2"/>
  <c r="M91" i="2" s="1"/>
  <c r="AG90" i="2" l="1"/>
  <c r="K91" i="2" s="1"/>
  <c r="AE90" i="2"/>
  <c r="I91" i="2" s="1"/>
  <c r="AF90" i="2"/>
  <c r="J91" i="2" s="1"/>
  <c r="AD90" i="2"/>
  <c r="H91" i="2" s="1"/>
  <c r="AB90" i="2"/>
  <c r="F91" i="2" s="1"/>
  <c r="AC90" i="2"/>
  <c r="G91" i="2" s="1"/>
  <c r="Q91" i="2" l="1"/>
  <c r="R91" i="2" s="1"/>
  <c r="O91" i="2"/>
  <c r="P91" i="2" s="1"/>
  <c r="S91" i="2" s="1"/>
  <c r="T91" i="2" s="1"/>
  <c r="V91" i="2" l="1"/>
  <c r="U91" i="2"/>
  <c r="X91" i="2" s="1"/>
  <c r="W91" i="2" l="1"/>
  <c r="Y91" i="2"/>
  <c r="AA91" i="2" l="1"/>
  <c r="Z91" i="2"/>
  <c r="AI91" i="2"/>
  <c r="M92" i="2" s="1"/>
  <c r="AH91" i="2"/>
  <c r="L92" i="2" s="1"/>
  <c r="AJ91" i="2"/>
  <c r="N92" i="2" s="1"/>
  <c r="AD91" i="2" l="1"/>
  <c r="H92" i="2" s="1"/>
  <c r="AC91" i="2"/>
  <c r="G92" i="2" s="1"/>
  <c r="AB91" i="2"/>
  <c r="F92" i="2" s="1"/>
  <c r="AF91" i="2"/>
  <c r="J92" i="2" s="1"/>
  <c r="AE91" i="2"/>
  <c r="I92" i="2" s="1"/>
  <c r="AG91" i="2"/>
  <c r="K92" i="2" s="1"/>
  <c r="O92" i="2" l="1"/>
  <c r="P92" i="2" s="1"/>
  <c r="Q92" i="2"/>
  <c r="R92" i="2" s="1"/>
  <c r="S92" i="2" l="1"/>
  <c r="T92" i="2" s="1"/>
  <c r="V92" i="2" l="1"/>
  <c r="U92" i="2"/>
  <c r="X92" i="2" s="1"/>
  <c r="Y92" i="2" l="1"/>
  <c r="W92" i="2"/>
  <c r="AA92" i="2" l="1"/>
  <c r="Z92" i="2"/>
  <c r="AH92" i="2"/>
  <c r="L93" i="2" s="1"/>
  <c r="AI92" i="2"/>
  <c r="M93" i="2" s="1"/>
  <c r="AJ92" i="2"/>
  <c r="N93" i="2" s="1"/>
  <c r="AC92" i="2" l="1"/>
  <c r="G93" i="2" s="1"/>
  <c r="AD92" i="2"/>
  <c r="H93" i="2" s="1"/>
  <c r="AB92" i="2"/>
  <c r="F93" i="2" s="1"/>
  <c r="AF92" i="2"/>
  <c r="J93" i="2" s="1"/>
  <c r="AE92" i="2"/>
  <c r="I93" i="2" s="1"/>
  <c r="AG92" i="2"/>
  <c r="K93" i="2" s="1"/>
  <c r="O93" i="2" l="1"/>
  <c r="P93" i="2" s="1"/>
  <c r="Q93" i="2"/>
  <c r="R93" i="2" s="1"/>
  <c r="S93" i="2" l="1"/>
  <c r="T93" i="2" s="1"/>
  <c r="V93" i="2" l="1"/>
  <c r="U93" i="2"/>
  <c r="X93" i="2" s="1"/>
  <c r="Y93" i="2" l="1"/>
  <c r="W93" i="2"/>
  <c r="Z93" i="2" l="1"/>
  <c r="AA93" i="2"/>
  <c r="AJ93" i="2"/>
  <c r="N94" i="2" s="1"/>
  <c r="AI93" i="2"/>
  <c r="M94" i="2" s="1"/>
  <c r="AH93" i="2"/>
  <c r="L94" i="2" s="1"/>
  <c r="AG93" i="2" l="1"/>
  <c r="K94" i="2" s="1"/>
  <c r="AE93" i="2"/>
  <c r="I94" i="2" s="1"/>
  <c r="AF93" i="2"/>
  <c r="J94" i="2" s="1"/>
  <c r="AB93" i="2"/>
  <c r="F94" i="2" s="1"/>
  <c r="AD93" i="2"/>
  <c r="H94" i="2" s="1"/>
  <c r="AC93" i="2"/>
  <c r="G94" i="2" s="1"/>
  <c r="Q94" i="2" l="1"/>
  <c r="R94" i="2" s="1"/>
  <c r="O94" i="2"/>
  <c r="P94" i="2" s="1"/>
  <c r="S94" i="2" s="1"/>
  <c r="T94" i="2" s="1"/>
  <c r="V94" i="2" l="1"/>
  <c r="U94" i="2"/>
  <c r="X94" i="2" s="1"/>
  <c r="Y94" i="2" l="1"/>
  <c r="W94" i="2"/>
  <c r="AA94" i="2" l="1"/>
  <c r="Z94" i="2"/>
  <c r="AI94" i="2"/>
  <c r="M95" i="2" s="1"/>
  <c r="AH94" i="2"/>
  <c r="L95" i="2" s="1"/>
  <c r="AJ94" i="2"/>
  <c r="N95" i="2" s="1"/>
  <c r="AC94" i="2" l="1"/>
  <c r="G95" i="2" s="1"/>
  <c r="AB94" i="2"/>
  <c r="F95" i="2" s="1"/>
  <c r="AD94" i="2"/>
  <c r="H95" i="2" s="1"/>
  <c r="AE94" i="2"/>
  <c r="I95" i="2" s="1"/>
  <c r="AF94" i="2"/>
  <c r="J95" i="2" s="1"/>
  <c r="AG94" i="2"/>
  <c r="K95" i="2" s="1"/>
  <c r="Q95" i="2" l="1"/>
  <c r="R95" i="2" s="1"/>
  <c r="O95" i="2"/>
  <c r="P95" i="2" s="1"/>
  <c r="S95" i="2" s="1"/>
  <c r="T95" i="2" s="1"/>
  <c r="V95" i="2" l="1"/>
  <c r="U95" i="2"/>
  <c r="X95" i="2" s="1"/>
  <c r="W95" i="2" l="1"/>
  <c r="Y95" i="2"/>
  <c r="Z95" i="2" l="1"/>
  <c r="AA95" i="2"/>
  <c r="AH95" i="2"/>
  <c r="L96" i="2" s="1"/>
  <c r="AJ95" i="2"/>
  <c r="N96" i="2" s="1"/>
  <c r="AI95" i="2"/>
  <c r="M96" i="2" s="1"/>
  <c r="AG95" i="2" l="1"/>
  <c r="K96" i="2" s="1"/>
  <c r="AE95" i="2"/>
  <c r="I96" i="2" s="1"/>
  <c r="AF95" i="2"/>
  <c r="J96" i="2" s="1"/>
  <c r="AD95" i="2"/>
  <c r="H96" i="2" s="1"/>
  <c r="AC95" i="2"/>
  <c r="G96" i="2" s="1"/>
  <c r="AB95" i="2"/>
  <c r="F96" i="2" s="1"/>
  <c r="Q96" i="2" l="1"/>
  <c r="R96" i="2" s="1"/>
  <c r="O96" i="2"/>
  <c r="P96" i="2" s="1"/>
  <c r="S96" i="2" s="1"/>
  <c r="T96" i="2" s="1"/>
  <c r="V96" i="2" l="1"/>
  <c r="U96" i="2"/>
  <c r="X96" i="2" s="1"/>
  <c r="Y96" i="2" l="1"/>
  <c r="W96" i="2"/>
  <c r="Z96" i="2" l="1"/>
  <c r="AA96" i="2"/>
  <c r="AI96" i="2"/>
  <c r="M97" i="2" s="1"/>
  <c r="AH96" i="2"/>
  <c r="L97" i="2" s="1"/>
  <c r="AJ96" i="2"/>
  <c r="N97" i="2" s="1"/>
  <c r="AE96" i="2" l="1"/>
  <c r="I97" i="2" s="1"/>
  <c r="AF96" i="2"/>
  <c r="J97" i="2" s="1"/>
  <c r="AG96" i="2"/>
  <c r="K97" i="2" s="1"/>
  <c r="AD96" i="2"/>
  <c r="H97" i="2" s="1"/>
  <c r="AB96" i="2"/>
  <c r="F97" i="2" s="1"/>
  <c r="AC96" i="2"/>
  <c r="G97" i="2" s="1"/>
  <c r="Q97" i="2" l="1"/>
  <c r="R97" i="2" s="1"/>
  <c r="O97" i="2"/>
  <c r="P97" i="2" s="1"/>
  <c r="S97" i="2" s="1"/>
  <c r="T97" i="2" s="1"/>
  <c r="V97" i="2" l="1"/>
  <c r="U97" i="2"/>
  <c r="X97" i="2" s="1"/>
  <c r="Y97" i="2" l="1"/>
  <c r="W97" i="2"/>
  <c r="Z97" i="2" l="1"/>
  <c r="AA97" i="2"/>
  <c r="AH97" i="2"/>
  <c r="L98" i="2" s="1"/>
  <c r="AI97" i="2"/>
  <c r="M98" i="2" s="1"/>
  <c r="AJ97" i="2"/>
  <c r="N98" i="2" s="1"/>
  <c r="AG97" i="2" l="1"/>
  <c r="K98" i="2" s="1"/>
  <c r="AE97" i="2"/>
  <c r="I98" i="2" s="1"/>
  <c r="AF97" i="2"/>
  <c r="J98" i="2" s="1"/>
  <c r="AD97" i="2"/>
  <c r="H98" i="2" s="1"/>
  <c r="AC97" i="2"/>
  <c r="G98" i="2" s="1"/>
  <c r="AB97" i="2"/>
  <c r="F98" i="2" s="1"/>
  <c r="Q98" i="2" l="1"/>
  <c r="R98" i="2" s="1"/>
  <c r="O98" i="2"/>
  <c r="P98" i="2" s="1"/>
  <c r="S98" i="2" s="1"/>
  <c r="T98" i="2" s="1"/>
  <c r="V98" i="2" l="1"/>
  <c r="U98" i="2"/>
  <c r="X98" i="2" s="1"/>
  <c r="Y98" i="2" l="1"/>
  <c r="W98" i="2"/>
  <c r="Z98" i="2" l="1"/>
  <c r="AA98" i="2"/>
  <c r="AJ98" i="2"/>
  <c r="N99" i="2" s="1"/>
  <c r="AI98" i="2"/>
  <c r="M99" i="2" s="1"/>
  <c r="AH98" i="2"/>
  <c r="L99" i="2" s="1"/>
  <c r="AG98" i="2" l="1"/>
  <c r="K99" i="2" s="1"/>
  <c r="AF98" i="2"/>
  <c r="J99" i="2" s="1"/>
  <c r="AE98" i="2"/>
  <c r="I99" i="2" s="1"/>
  <c r="AD98" i="2"/>
  <c r="H99" i="2" s="1"/>
  <c r="AB98" i="2"/>
  <c r="F99" i="2" s="1"/>
  <c r="AC98" i="2"/>
  <c r="G99" i="2" s="1"/>
  <c r="Q99" i="2" l="1"/>
  <c r="R99" i="2" s="1"/>
  <c r="O99" i="2"/>
  <c r="P99" i="2" s="1"/>
  <c r="S99" i="2" s="1"/>
  <c r="T99" i="2" s="1"/>
  <c r="V99" i="2" l="1"/>
  <c r="U99" i="2"/>
  <c r="X99" i="2" s="1"/>
  <c r="W99" i="2" l="1"/>
  <c r="Y99" i="2"/>
  <c r="Z99" i="2" l="1"/>
  <c r="AA99" i="2"/>
  <c r="AH99" i="2"/>
  <c r="L100" i="2" s="1"/>
  <c r="AJ99" i="2"/>
  <c r="N100" i="2" s="1"/>
  <c r="AI99" i="2"/>
  <c r="M100" i="2" s="1"/>
  <c r="AG99" i="2" l="1"/>
  <c r="K100" i="2" s="1"/>
  <c r="AE99" i="2"/>
  <c r="I100" i="2" s="1"/>
  <c r="AF99" i="2"/>
  <c r="J100" i="2" s="1"/>
  <c r="AD99" i="2"/>
  <c r="H100" i="2" s="1"/>
  <c r="AC99" i="2"/>
  <c r="G100" i="2" s="1"/>
  <c r="AB99" i="2"/>
  <c r="F100" i="2" s="1"/>
  <c r="Q100" i="2" l="1"/>
  <c r="R100" i="2" s="1"/>
  <c r="O100" i="2"/>
  <c r="P100" i="2" s="1"/>
  <c r="S100" i="2" l="1"/>
  <c r="T100" i="2" s="1"/>
  <c r="V100" i="2" s="1"/>
  <c r="U100" i="2" l="1"/>
  <c r="X100" i="2" s="1"/>
  <c r="Y100" i="2"/>
  <c r="W100" i="2"/>
  <c r="AA100" i="2" l="1"/>
  <c r="Z100" i="2"/>
  <c r="AJ100" i="2"/>
  <c r="N101" i="2" s="1"/>
  <c r="AI100" i="2"/>
  <c r="M101" i="2" s="1"/>
  <c r="AH100" i="2"/>
  <c r="L101" i="2" s="1"/>
  <c r="AD100" i="2" l="1"/>
  <c r="H101" i="2" s="1"/>
  <c r="AC100" i="2"/>
  <c r="G101" i="2" s="1"/>
  <c r="AB100" i="2"/>
  <c r="F101" i="2" s="1"/>
  <c r="AF100" i="2"/>
  <c r="J101" i="2" s="1"/>
  <c r="AG100" i="2"/>
  <c r="K101" i="2" s="1"/>
  <c r="AE100" i="2"/>
  <c r="I101" i="2" s="1"/>
  <c r="O101" i="2" l="1"/>
  <c r="P101" i="2" s="1"/>
  <c r="Q101" i="2"/>
  <c r="R101" i="2" s="1"/>
  <c r="S101" i="2" l="1"/>
  <c r="T101" i="2" s="1"/>
  <c r="V101" i="2" l="1"/>
  <c r="U101" i="2"/>
  <c r="X101" i="2" s="1"/>
  <c r="W101" i="2" l="1"/>
  <c r="Y101" i="2"/>
  <c r="AA101" i="2" l="1"/>
  <c r="Z101" i="2"/>
  <c r="AI101" i="2"/>
  <c r="M102" i="2" s="1"/>
  <c r="AH101" i="2"/>
  <c r="L102" i="2" s="1"/>
  <c r="AJ101" i="2"/>
  <c r="N102" i="2" s="1"/>
  <c r="AB101" i="2" l="1"/>
  <c r="F102" i="2" s="1"/>
  <c r="AC101" i="2"/>
  <c r="G102" i="2" s="1"/>
  <c r="AD101" i="2"/>
  <c r="H102" i="2" s="1"/>
  <c r="AF101" i="2"/>
  <c r="J102" i="2" s="1"/>
  <c r="AE101" i="2"/>
  <c r="I102" i="2" s="1"/>
  <c r="AG101" i="2"/>
  <c r="K102" i="2" s="1"/>
  <c r="O102" i="2" l="1"/>
  <c r="P102" i="2" s="1"/>
  <c r="Q102" i="2"/>
  <c r="R102" i="2" s="1"/>
  <c r="S102" i="2" l="1"/>
  <c r="T102" i="2" s="1"/>
  <c r="V102" i="2" l="1"/>
  <c r="U102" i="2"/>
  <c r="X102" i="2" s="1"/>
  <c r="Y102" i="2" l="1"/>
  <c r="W102" i="2"/>
  <c r="Z102" i="2" l="1"/>
  <c r="AA102" i="2"/>
  <c r="AI102" i="2"/>
  <c r="M103" i="2" s="1"/>
  <c r="AJ102" i="2"/>
  <c r="N103" i="2" s="1"/>
  <c r="AH102" i="2"/>
  <c r="L103" i="2" s="1"/>
  <c r="AF102" i="2" l="1"/>
  <c r="J103" i="2" s="1"/>
  <c r="AG102" i="2"/>
  <c r="K103" i="2" s="1"/>
  <c r="AE102" i="2"/>
  <c r="I103" i="2" s="1"/>
  <c r="AB102" i="2"/>
  <c r="F103" i="2" s="1"/>
  <c r="AC102" i="2"/>
  <c r="G103" i="2" s="1"/>
  <c r="AD102" i="2"/>
  <c r="H103" i="2" s="1"/>
  <c r="O103" i="2" l="1"/>
  <c r="P103" i="2" s="1"/>
  <c r="Q103" i="2"/>
  <c r="R103" i="2" s="1"/>
  <c r="S103" i="2" l="1"/>
  <c r="T103" i="2" s="1"/>
  <c r="V103" i="2" l="1"/>
  <c r="U103" i="2"/>
  <c r="X103" i="2" s="1"/>
  <c r="Y103" i="2" l="1"/>
  <c r="W103" i="2"/>
  <c r="Z103" i="2" l="1"/>
  <c r="AA103" i="2"/>
  <c r="AI103" i="2"/>
  <c r="M104" i="2" s="1"/>
  <c r="AJ103" i="2"/>
  <c r="N104" i="2" s="1"/>
  <c r="AH103" i="2"/>
  <c r="L104" i="2" s="1"/>
  <c r="AE103" i="2" l="1"/>
  <c r="I104" i="2" s="1"/>
  <c r="AF103" i="2"/>
  <c r="J104" i="2" s="1"/>
  <c r="AG103" i="2"/>
  <c r="K104" i="2" s="1"/>
  <c r="AD103" i="2"/>
  <c r="H104" i="2" s="1"/>
  <c r="AB103" i="2"/>
  <c r="F104" i="2" s="1"/>
  <c r="AC103" i="2"/>
  <c r="G104" i="2" s="1"/>
  <c r="Q104" i="2" l="1"/>
  <c r="R104" i="2" s="1"/>
  <c r="O104" i="2"/>
  <c r="P104" i="2" s="1"/>
  <c r="S104" i="2" s="1"/>
  <c r="T104" i="2" s="1"/>
  <c r="V104" i="2" l="1"/>
  <c r="U104" i="2"/>
  <c r="X104" i="2" s="1"/>
  <c r="Y104" i="2" l="1"/>
  <c r="W104" i="2"/>
  <c r="AA104" i="2" l="1"/>
  <c r="Z104" i="2"/>
  <c r="AJ104" i="2"/>
  <c r="N105" i="2" s="1"/>
  <c r="AH104" i="2"/>
  <c r="L105" i="2" s="1"/>
  <c r="AI104" i="2"/>
  <c r="M105" i="2" s="1"/>
  <c r="AC104" i="2" l="1"/>
  <c r="G105" i="2" s="1"/>
  <c r="AD104" i="2"/>
  <c r="H105" i="2" s="1"/>
  <c r="AB104" i="2"/>
  <c r="F105" i="2" s="1"/>
  <c r="AG104" i="2"/>
  <c r="K105" i="2" s="1"/>
  <c r="AF104" i="2"/>
  <c r="J105" i="2" s="1"/>
  <c r="AE104" i="2"/>
  <c r="I105" i="2" s="1"/>
  <c r="O105" i="2" l="1"/>
  <c r="P105" i="2" s="1"/>
  <c r="Q105" i="2"/>
  <c r="R105" i="2" s="1"/>
  <c r="S105" i="2" l="1"/>
  <c r="T105" i="2" s="1"/>
  <c r="V105" i="2" l="1"/>
  <c r="U105" i="2"/>
  <c r="X105" i="2" s="1"/>
  <c r="W105" i="2" l="1"/>
  <c r="Y105" i="2"/>
  <c r="AA105" i="2" l="1"/>
  <c r="Z105" i="2"/>
  <c r="AI105" i="2"/>
  <c r="M106" i="2" s="1"/>
  <c r="AJ105" i="2"/>
  <c r="N106" i="2" s="1"/>
  <c r="AH105" i="2"/>
  <c r="L106" i="2" s="1"/>
  <c r="AC105" i="2" l="1"/>
  <c r="G106" i="2" s="1"/>
  <c r="AD105" i="2"/>
  <c r="H106" i="2" s="1"/>
  <c r="AB105" i="2"/>
  <c r="F106" i="2" s="1"/>
  <c r="AG105" i="2"/>
  <c r="K106" i="2" s="1"/>
  <c r="AE105" i="2"/>
  <c r="I106" i="2" s="1"/>
  <c r="AF105" i="2"/>
  <c r="J106" i="2" s="1"/>
  <c r="O106" i="2" l="1"/>
  <c r="P106" i="2" s="1"/>
  <c r="Q106" i="2"/>
  <c r="R106" i="2" s="1"/>
  <c r="S106" i="2" l="1"/>
  <c r="T106" i="2" s="1"/>
  <c r="V106" i="2" l="1"/>
  <c r="U106" i="2"/>
  <c r="X106" i="2" s="1"/>
  <c r="Y106" i="2" l="1"/>
  <c r="W106" i="2"/>
  <c r="AA106" i="2" l="1"/>
  <c r="Z106" i="2"/>
  <c r="AH106" i="2"/>
  <c r="L107" i="2" s="1"/>
  <c r="AJ106" i="2"/>
  <c r="N107" i="2" s="1"/>
  <c r="AI106" i="2"/>
  <c r="M107" i="2" s="1"/>
  <c r="AB106" i="2" l="1"/>
  <c r="F107" i="2" s="1"/>
  <c r="AC106" i="2"/>
  <c r="G107" i="2" s="1"/>
  <c r="AD106" i="2"/>
  <c r="H107" i="2" s="1"/>
  <c r="AG106" i="2"/>
  <c r="K107" i="2" s="1"/>
  <c r="AE106" i="2"/>
  <c r="I107" i="2" s="1"/>
  <c r="AF106" i="2"/>
  <c r="J107" i="2" s="1"/>
  <c r="O107" i="2" l="1"/>
  <c r="P107" i="2" s="1"/>
  <c r="Q107" i="2"/>
  <c r="R107" i="2" s="1"/>
  <c r="S107" i="2" l="1"/>
  <c r="T107" i="2" s="1"/>
  <c r="V107" i="2" l="1"/>
  <c r="U107" i="2"/>
  <c r="X107" i="2" s="1"/>
  <c r="W107" i="2" l="1"/>
  <c r="Y107" i="2"/>
  <c r="Z107" i="2" l="1"/>
  <c r="AA107" i="2"/>
  <c r="AJ107" i="2"/>
  <c r="N108" i="2" s="1"/>
  <c r="AI107" i="2"/>
  <c r="M108" i="2" s="1"/>
  <c r="AH107" i="2"/>
  <c r="L108" i="2" s="1"/>
  <c r="AG107" i="2" l="1"/>
  <c r="K108" i="2" s="1"/>
  <c r="AE107" i="2"/>
  <c r="I108" i="2" s="1"/>
  <c r="AF107" i="2"/>
  <c r="J108" i="2" s="1"/>
  <c r="AC107" i="2"/>
  <c r="G108" i="2" s="1"/>
  <c r="AB107" i="2"/>
  <c r="F108" i="2" s="1"/>
  <c r="AD107" i="2"/>
  <c r="H108" i="2" s="1"/>
  <c r="Q108" i="2" l="1"/>
  <c r="R108" i="2" s="1"/>
  <c r="O108" i="2"/>
  <c r="P108" i="2" s="1"/>
  <c r="S108" i="2" s="1"/>
  <c r="T108" i="2" s="1"/>
  <c r="V108" i="2" l="1"/>
  <c r="U108" i="2"/>
  <c r="X108" i="2" s="1"/>
  <c r="Y108" i="2" l="1"/>
  <c r="W108" i="2"/>
  <c r="AA108" i="2" l="1"/>
  <c r="Z108" i="2"/>
  <c r="AI108" i="2"/>
  <c r="M109" i="2" s="1"/>
  <c r="AH108" i="2"/>
  <c r="L109" i="2" s="1"/>
  <c r="AJ108" i="2"/>
  <c r="N109" i="2" s="1"/>
  <c r="AC108" i="2" l="1"/>
  <c r="G109" i="2" s="1"/>
  <c r="AD108" i="2"/>
  <c r="H109" i="2" s="1"/>
  <c r="AB108" i="2"/>
  <c r="F109" i="2" s="1"/>
  <c r="AG108" i="2"/>
  <c r="K109" i="2" s="1"/>
  <c r="AF108" i="2"/>
  <c r="J109" i="2" s="1"/>
  <c r="AE108" i="2"/>
  <c r="I109" i="2" s="1"/>
  <c r="O109" i="2" l="1"/>
  <c r="P109" i="2" s="1"/>
  <c r="Q109" i="2"/>
  <c r="R109" i="2" s="1"/>
  <c r="S109" i="2" l="1"/>
  <c r="T109" i="2" s="1"/>
  <c r="V109" i="2" l="1"/>
  <c r="U109" i="2"/>
  <c r="X109" i="2" s="1"/>
  <c r="Y109" i="2" l="1"/>
  <c r="W109" i="2"/>
  <c r="AA109" i="2" l="1"/>
  <c r="Z109" i="2"/>
  <c r="AJ109" i="2"/>
  <c r="N110" i="2" s="1"/>
  <c r="AI109" i="2"/>
  <c r="M110" i="2" s="1"/>
  <c r="AH109" i="2"/>
  <c r="L110" i="2" s="1"/>
  <c r="AC109" i="2" l="1"/>
  <c r="G110" i="2" s="1"/>
  <c r="AD109" i="2"/>
  <c r="H110" i="2" s="1"/>
  <c r="AB109" i="2"/>
  <c r="F110" i="2" s="1"/>
  <c r="AG109" i="2"/>
  <c r="K110" i="2" s="1"/>
  <c r="AE109" i="2"/>
  <c r="I110" i="2" s="1"/>
  <c r="AF109" i="2"/>
  <c r="J110" i="2" s="1"/>
  <c r="O110" i="2" l="1"/>
  <c r="P110" i="2" s="1"/>
  <c r="Q110" i="2"/>
  <c r="R110" i="2" s="1"/>
  <c r="S110" i="2" l="1"/>
  <c r="T110" i="2" s="1"/>
  <c r="V110" i="2" l="1"/>
  <c r="U110" i="2"/>
  <c r="X110" i="2" s="1"/>
  <c r="Y110" i="2" l="1"/>
  <c r="W110" i="2"/>
  <c r="AA110" i="2" l="1"/>
  <c r="Z110" i="2"/>
  <c r="AI110" i="2"/>
  <c r="M111" i="2" s="1"/>
  <c r="AH110" i="2"/>
  <c r="L111" i="2" s="1"/>
  <c r="AJ110" i="2"/>
  <c r="N111" i="2" s="1"/>
  <c r="AB110" i="2" l="1"/>
  <c r="F111" i="2" s="1"/>
  <c r="AD110" i="2"/>
  <c r="H111" i="2" s="1"/>
  <c r="AC110" i="2"/>
  <c r="G111" i="2" s="1"/>
  <c r="AG110" i="2"/>
  <c r="K111" i="2" s="1"/>
  <c r="AF110" i="2"/>
  <c r="J111" i="2" s="1"/>
  <c r="AE110" i="2"/>
  <c r="I111" i="2" s="1"/>
  <c r="O111" i="2" l="1"/>
  <c r="P111" i="2" s="1"/>
  <c r="Q111" i="2"/>
  <c r="R111" i="2" s="1"/>
  <c r="S111" i="2" l="1"/>
  <c r="T111" i="2" s="1"/>
  <c r="V111" i="2" l="1"/>
  <c r="U111" i="2"/>
  <c r="X111" i="2" s="1"/>
  <c r="Y111" i="2" l="1"/>
  <c r="W111" i="2"/>
  <c r="AA111" i="2" l="1"/>
  <c r="Z111" i="2"/>
  <c r="AH111" i="2"/>
  <c r="L112" i="2" s="1"/>
  <c r="AJ111" i="2"/>
  <c r="N112" i="2" s="1"/>
  <c r="AI111" i="2"/>
  <c r="M112" i="2" s="1"/>
  <c r="AB111" i="2" l="1"/>
  <c r="F112" i="2" s="1"/>
  <c r="AC111" i="2"/>
  <c r="G112" i="2" s="1"/>
  <c r="AD111" i="2"/>
  <c r="H112" i="2" s="1"/>
  <c r="AG111" i="2"/>
  <c r="K112" i="2" s="1"/>
  <c r="AE111" i="2"/>
  <c r="I112" i="2" s="1"/>
  <c r="AF111" i="2"/>
  <c r="J112" i="2" s="1"/>
  <c r="O112" i="2" l="1"/>
  <c r="P112" i="2" s="1"/>
  <c r="Q112" i="2"/>
  <c r="R112" i="2" s="1"/>
  <c r="S112" i="2" l="1"/>
  <c r="T112" i="2" s="1"/>
  <c r="V112" i="2" l="1"/>
  <c r="U112" i="2"/>
  <c r="X112" i="2" s="1"/>
  <c r="Y112" i="2" l="1"/>
  <c r="W112" i="2"/>
  <c r="AA112" i="2" l="1"/>
  <c r="Z112" i="2"/>
  <c r="AI112" i="2"/>
  <c r="M113" i="2" s="1"/>
  <c r="AJ112" i="2"/>
  <c r="N113" i="2" s="1"/>
  <c r="AH112" i="2"/>
  <c r="L113" i="2" s="1"/>
  <c r="AC112" i="2" l="1"/>
  <c r="G113" i="2" s="1"/>
  <c r="AD112" i="2"/>
  <c r="H113" i="2" s="1"/>
  <c r="AB112" i="2"/>
  <c r="F113" i="2" s="1"/>
  <c r="AG112" i="2"/>
  <c r="K113" i="2" s="1"/>
  <c r="AF112" i="2"/>
  <c r="J113" i="2" s="1"/>
  <c r="AE112" i="2"/>
  <c r="I113" i="2" s="1"/>
  <c r="O113" i="2" l="1"/>
  <c r="P113" i="2" s="1"/>
  <c r="Q113" i="2"/>
  <c r="R113" i="2" s="1"/>
  <c r="S113" i="2" l="1"/>
  <c r="T113" i="2" s="1"/>
  <c r="V113" i="2" l="1"/>
  <c r="U113" i="2"/>
  <c r="X113" i="2" s="1"/>
  <c r="Y113" i="2" l="1"/>
  <c r="W113" i="2"/>
  <c r="AA113" i="2" l="1"/>
  <c r="Z113" i="2"/>
  <c r="AI113" i="2"/>
  <c r="M114" i="2" s="1"/>
  <c r="AH113" i="2"/>
  <c r="L114" i="2" s="1"/>
  <c r="AJ113" i="2"/>
  <c r="N114" i="2" s="1"/>
  <c r="AC113" i="2" l="1"/>
  <c r="G114" i="2" s="1"/>
  <c r="AB113" i="2"/>
  <c r="F114" i="2" s="1"/>
  <c r="AD113" i="2"/>
  <c r="H114" i="2" s="1"/>
  <c r="AG113" i="2"/>
  <c r="K114" i="2" s="1"/>
  <c r="AF113" i="2"/>
  <c r="J114" i="2" s="1"/>
  <c r="AE113" i="2"/>
  <c r="I114" i="2" s="1"/>
  <c r="O114" i="2" l="1"/>
  <c r="P114" i="2" s="1"/>
  <c r="Q114" i="2"/>
  <c r="R114" i="2" s="1"/>
  <c r="S114" i="2" l="1"/>
  <c r="T114" i="2" s="1"/>
  <c r="V114" i="2" l="1"/>
  <c r="U114" i="2"/>
  <c r="X114" i="2" s="1"/>
  <c r="Y114" i="2" l="1"/>
  <c r="W114" i="2"/>
  <c r="Z114" i="2" l="1"/>
  <c r="AA114" i="2"/>
  <c r="AI114" i="2"/>
  <c r="M115" i="2" s="1"/>
  <c r="AJ114" i="2"/>
  <c r="N115" i="2" s="1"/>
  <c r="AH114" i="2"/>
  <c r="L115" i="2" s="1"/>
  <c r="AG114" i="2" l="1"/>
  <c r="K115" i="2" s="1"/>
  <c r="AE114" i="2"/>
  <c r="I115" i="2" s="1"/>
  <c r="AF114" i="2"/>
  <c r="J115" i="2" s="1"/>
  <c r="AC114" i="2"/>
  <c r="G115" i="2" s="1"/>
  <c r="AD114" i="2"/>
  <c r="H115" i="2" s="1"/>
  <c r="AB114" i="2"/>
  <c r="F115" i="2" s="1"/>
  <c r="Q115" i="2" l="1"/>
  <c r="R115" i="2" s="1"/>
  <c r="O115" i="2"/>
  <c r="P115" i="2" s="1"/>
  <c r="S115" i="2" l="1"/>
  <c r="T115" i="2" s="1"/>
  <c r="V115" i="2" s="1"/>
  <c r="U115" i="2" l="1"/>
  <c r="X115" i="2" s="1"/>
  <c r="Y115" i="2"/>
  <c r="W115" i="2"/>
  <c r="AA115" i="2" l="1"/>
  <c r="Z115" i="2"/>
  <c r="AH115" i="2"/>
  <c r="L116" i="2" s="1"/>
  <c r="AJ115" i="2"/>
  <c r="N116" i="2" s="1"/>
  <c r="AI115" i="2"/>
  <c r="M116" i="2" s="1"/>
  <c r="AC115" i="2" l="1"/>
  <c r="G116" i="2" s="1"/>
  <c r="AB115" i="2"/>
  <c r="F116" i="2" s="1"/>
  <c r="AD115" i="2"/>
  <c r="H116" i="2" s="1"/>
  <c r="AF115" i="2"/>
  <c r="J116" i="2" s="1"/>
  <c r="AE115" i="2"/>
  <c r="I116" i="2" s="1"/>
  <c r="AG115" i="2"/>
  <c r="K116" i="2" s="1"/>
  <c r="O116" i="2" l="1"/>
  <c r="P116" i="2" s="1"/>
  <c r="Q116" i="2"/>
  <c r="R116" i="2" s="1"/>
  <c r="S116" i="2" l="1"/>
  <c r="T116" i="2" s="1"/>
  <c r="V116" i="2" l="1"/>
  <c r="U116" i="2"/>
  <c r="X116" i="2" s="1"/>
  <c r="Y116" i="2" l="1"/>
  <c r="W116" i="2"/>
  <c r="AA116" i="2" l="1"/>
  <c r="Z116" i="2"/>
  <c r="AJ116" i="2"/>
  <c r="N117" i="2" s="1"/>
  <c r="AI116" i="2"/>
  <c r="M117" i="2" s="1"/>
  <c r="AH116" i="2"/>
  <c r="L117" i="2" s="1"/>
  <c r="AD116" i="2" l="1"/>
  <c r="H117" i="2" s="1"/>
  <c r="AB116" i="2"/>
  <c r="F117" i="2" s="1"/>
  <c r="AC116" i="2"/>
  <c r="G117" i="2" s="1"/>
  <c r="AF116" i="2"/>
  <c r="J117" i="2" s="1"/>
  <c r="AE116" i="2"/>
  <c r="I117" i="2" s="1"/>
  <c r="AG116" i="2"/>
  <c r="K117" i="2" s="1"/>
  <c r="O117" i="2" l="1"/>
  <c r="P117" i="2" s="1"/>
  <c r="Q117" i="2"/>
  <c r="R117" i="2" s="1"/>
  <c r="S117" i="2" l="1"/>
  <c r="T117" i="2" s="1"/>
  <c r="V117" i="2" l="1"/>
  <c r="U117" i="2"/>
  <c r="X117" i="2" s="1"/>
  <c r="W117" i="2" l="1"/>
  <c r="Y117" i="2"/>
  <c r="AA117" i="2" l="1"/>
  <c r="Z117" i="2"/>
  <c r="AH117" i="2"/>
  <c r="L118" i="2" s="1"/>
  <c r="AI117" i="2"/>
  <c r="M118" i="2" s="1"/>
  <c r="AJ117" i="2"/>
  <c r="N118" i="2" s="1"/>
  <c r="AD117" i="2" l="1"/>
  <c r="H118" i="2" s="1"/>
  <c r="AC117" i="2"/>
  <c r="G118" i="2" s="1"/>
  <c r="AB117" i="2"/>
  <c r="F118" i="2" s="1"/>
  <c r="AF117" i="2"/>
  <c r="J118" i="2" s="1"/>
  <c r="AE117" i="2"/>
  <c r="I118" i="2" s="1"/>
  <c r="AG117" i="2"/>
  <c r="K118" i="2" s="1"/>
  <c r="O118" i="2" l="1"/>
  <c r="P118" i="2" s="1"/>
  <c r="Q118" i="2"/>
  <c r="R118" i="2" s="1"/>
  <c r="S118" i="2" l="1"/>
  <c r="T118" i="2" s="1"/>
  <c r="V118" i="2" l="1"/>
  <c r="U118" i="2"/>
  <c r="X118" i="2" s="1"/>
  <c r="Y118" i="2" l="1"/>
  <c r="W118" i="2"/>
  <c r="AA118" i="2" l="1"/>
  <c r="Z118" i="2"/>
  <c r="AJ118" i="2"/>
  <c r="N119" i="2" s="1"/>
  <c r="AI118" i="2"/>
  <c r="M119" i="2" s="1"/>
  <c r="AH118" i="2"/>
  <c r="L119" i="2" s="1"/>
  <c r="AB118" i="2" l="1"/>
  <c r="F119" i="2" s="1"/>
  <c r="AC118" i="2"/>
  <c r="G119" i="2" s="1"/>
  <c r="AD118" i="2"/>
  <c r="H119" i="2" s="1"/>
  <c r="AF118" i="2"/>
  <c r="J119" i="2" s="1"/>
  <c r="AG118" i="2"/>
  <c r="K119" i="2" s="1"/>
  <c r="AE118" i="2"/>
  <c r="I119" i="2" s="1"/>
  <c r="O119" i="2" l="1"/>
  <c r="P119" i="2" s="1"/>
  <c r="Q119" i="2"/>
  <c r="R119" i="2" s="1"/>
  <c r="S119" i="2" l="1"/>
  <c r="T119" i="2" s="1"/>
  <c r="V119" i="2" l="1"/>
  <c r="U119" i="2"/>
  <c r="X119" i="2" s="1"/>
  <c r="W119" i="2" l="1"/>
  <c r="Y119" i="2"/>
  <c r="Z119" i="2" l="1"/>
  <c r="AA119" i="2"/>
  <c r="AH119" i="2"/>
  <c r="L120" i="2" s="1"/>
  <c r="AI119" i="2"/>
  <c r="M120" i="2" s="1"/>
  <c r="AJ119" i="2"/>
  <c r="N120" i="2" s="1"/>
  <c r="AF119" i="2" l="1"/>
  <c r="J120" i="2" s="1"/>
  <c r="AG119" i="2"/>
  <c r="K120" i="2" s="1"/>
  <c r="AE119" i="2"/>
  <c r="I120" i="2" s="1"/>
  <c r="AD119" i="2"/>
  <c r="H120" i="2" s="1"/>
  <c r="AC119" i="2"/>
  <c r="G120" i="2" s="1"/>
  <c r="AB119" i="2"/>
  <c r="F120" i="2" s="1"/>
  <c r="Q120" i="2" l="1"/>
  <c r="R120" i="2" s="1"/>
  <c r="O120" i="2"/>
  <c r="P120" i="2" s="1"/>
  <c r="S120" i="2" s="1"/>
  <c r="T120" i="2" s="1"/>
  <c r="V120" i="2" l="1"/>
  <c r="U120" i="2"/>
  <c r="X120" i="2" s="1"/>
  <c r="Y120" i="2" l="1"/>
  <c r="W120" i="2"/>
  <c r="AA120" i="2" l="1"/>
  <c r="Z120" i="2"/>
  <c r="AJ120" i="2"/>
  <c r="N121" i="2" s="1"/>
  <c r="AI120" i="2"/>
  <c r="M121" i="2" s="1"/>
  <c r="AH120" i="2"/>
  <c r="L121" i="2" s="1"/>
  <c r="AD120" i="2" l="1"/>
  <c r="H121" i="2" s="1"/>
  <c r="AC120" i="2"/>
  <c r="G121" i="2" s="1"/>
  <c r="AB120" i="2"/>
  <c r="F121" i="2" s="1"/>
  <c r="AE120" i="2"/>
  <c r="I121" i="2" s="1"/>
  <c r="AF120" i="2"/>
  <c r="J121" i="2" s="1"/>
  <c r="AG120" i="2"/>
  <c r="K121" i="2" s="1"/>
  <c r="O121" i="2" l="1"/>
  <c r="P121" i="2" s="1"/>
  <c r="Q121" i="2"/>
  <c r="R121" i="2" s="1"/>
  <c r="S121" i="2" l="1"/>
  <c r="T121" i="2" s="1"/>
  <c r="V121" i="2" l="1"/>
  <c r="U121" i="2"/>
  <c r="X121" i="2" s="1"/>
  <c r="W121" i="2" l="1"/>
  <c r="Y121" i="2"/>
  <c r="AA121" i="2" l="1"/>
  <c r="Z121" i="2"/>
  <c r="AH121" i="2"/>
  <c r="L122" i="2" s="1"/>
  <c r="AI121" i="2"/>
  <c r="M122" i="2" s="1"/>
  <c r="AJ121" i="2"/>
  <c r="N122" i="2" s="1"/>
  <c r="AC121" i="2" l="1"/>
  <c r="G122" i="2" s="1"/>
  <c r="AD121" i="2"/>
  <c r="H122" i="2" s="1"/>
  <c r="AB121" i="2"/>
  <c r="F122" i="2" s="1"/>
  <c r="AE121" i="2"/>
  <c r="I122" i="2" s="1"/>
  <c r="AF121" i="2"/>
  <c r="J122" i="2" s="1"/>
  <c r="AG121" i="2"/>
  <c r="K122" i="2" s="1"/>
  <c r="Q122" i="2" l="1"/>
  <c r="R122" i="2" s="1"/>
  <c r="O122" i="2"/>
  <c r="P122" i="2" s="1"/>
  <c r="S122" i="2" l="1"/>
  <c r="T122" i="2" s="1"/>
  <c r="V122" i="2" s="1"/>
  <c r="U122" i="2" l="1"/>
  <c r="X122" i="2" s="1"/>
  <c r="W122" i="2"/>
  <c r="Y122" i="2"/>
  <c r="Z122" i="2" l="1"/>
  <c r="AA122" i="2"/>
  <c r="AI122" i="2"/>
  <c r="M123" i="2" s="1"/>
  <c r="AH122" i="2"/>
  <c r="L123" i="2" s="1"/>
  <c r="AJ122" i="2"/>
  <c r="N123" i="2" s="1"/>
  <c r="AE122" i="2" l="1"/>
  <c r="I123" i="2" s="1"/>
  <c r="AF122" i="2"/>
  <c r="J123" i="2" s="1"/>
  <c r="AG122" i="2"/>
  <c r="K123" i="2" s="1"/>
  <c r="AD122" i="2"/>
  <c r="H123" i="2" s="1"/>
  <c r="AC122" i="2"/>
  <c r="G123" i="2" s="1"/>
  <c r="AB122" i="2"/>
  <c r="F123" i="2" s="1"/>
  <c r="Q123" i="2" l="1"/>
  <c r="R123" i="2" s="1"/>
  <c r="O123" i="2"/>
  <c r="P123" i="2" s="1"/>
  <c r="S123" i="2" s="1"/>
  <c r="T123" i="2" s="1"/>
  <c r="V123" i="2" l="1"/>
  <c r="U123" i="2"/>
  <c r="X123" i="2" s="1"/>
  <c r="Y123" i="2" l="1"/>
  <c r="W123" i="2"/>
  <c r="AA123" i="2" l="1"/>
  <c r="Z123" i="2"/>
  <c r="AJ123" i="2"/>
  <c r="N124" i="2" s="1"/>
  <c r="AH123" i="2"/>
  <c r="L124" i="2" s="1"/>
  <c r="AI123" i="2"/>
  <c r="M124" i="2" s="1"/>
  <c r="AD123" i="2" l="1"/>
  <c r="H124" i="2" s="1"/>
  <c r="AB123" i="2"/>
  <c r="F124" i="2" s="1"/>
  <c r="AC123" i="2"/>
  <c r="G124" i="2" s="1"/>
  <c r="AG123" i="2"/>
  <c r="K124" i="2" s="1"/>
  <c r="AE123" i="2"/>
  <c r="I124" i="2" s="1"/>
  <c r="AF123" i="2"/>
  <c r="J124" i="2" s="1"/>
  <c r="O124" i="2" l="1"/>
  <c r="P124" i="2" s="1"/>
  <c r="Q124" i="2"/>
  <c r="R124" i="2" s="1"/>
  <c r="S124" i="2" l="1"/>
  <c r="T124" i="2" s="1"/>
  <c r="V124" i="2" l="1"/>
  <c r="U124" i="2"/>
  <c r="X124" i="2" s="1"/>
  <c r="Y124" i="2" l="1"/>
  <c r="W124" i="2"/>
  <c r="Z124" i="2" l="1"/>
  <c r="AA124" i="2"/>
  <c r="AJ124" i="2"/>
  <c r="N125" i="2" s="1"/>
  <c r="AH124" i="2"/>
  <c r="L125" i="2" s="1"/>
  <c r="AI124" i="2"/>
  <c r="M125" i="2" s="1"/>
  <c r="AG124" i="2" l="1"/>
  <c r="K125" i="2" s="1"/>
  <c r="AF124" i="2"/>
  <c r="J125" i="2" s="1"/>
  <c r="AE124" i="2"/>
  <c r="I125" i="2" s="1"/>
  <c r="AD124" i="2"/>
  <c r="H125" i="2" s="1"/>
  <c r="AB124" i="2"/>
  <c r="F125" i="2" s="1"/>
  <c r="AC124" i="2"/>
  <c r="G125" i="2" s="1"/>
  <c r="Q125" i="2" l="1"/>
  <c r="R125" i="2" s="1"/>
  <c r="O125" i="2"/>
  <c r="P125" i="2" s="1"/>
  <c r="S125" i="2" s="1"/>
  <c r="T125" i="2" s="1"/>
  <c r="V125" i="2" l="1"/>
  <c r="U125" i="2"/>
  <c r="X125" i="2" s="1"/>
  <c r="W125" i="2" l="1"/>
  <c r="Y125" i="2"/>
  <c r="AA125" i="2" l="1"/>
  <c r="Z125" i="2"/>
  <c r="AI125" i="2"/>
  <c r="M126" i="2" s="1"/>
  <c r="AH125" i="2"/>
  <c r="L126" i="2" s="1"/>
  <c r="AJ125" i="2"/>
  <c r="N126" i="2" s="1"/>
  <c r="AD125" i="2" l="1"/>
  <c r="H126" i="2" s="1"/>
  <c r="AC125" i="2"/>
  <c r="G126" i="2" s="1"/>
  <c r="AB125" i="2"/>
  <c r="F126" i="2" s="1"/>
  <c r="AF125" i="2"/>
  <c r="J126" i="2" s="1"/>
  <c r="AE125" i="2"/>
  <c r="I126" i="2" s="1"/>
  <c r="AG125" i="2"/>
  <c r="K126" i="2" s="1"/>
  <c r="Q126" i="2" l="1"/>
  <c r="R126" i="2" s="1"/>
  <c r="O126" i="2"/>
  <c r="P126" i="2" s="1"/>
  <c r="S126" i="2" l="1"/>
  <c r="T126" i="2" s="1"/>
  <c r="V126" i="2" s="1"/>
  <c r="U126" i="2" l="1"/>
  <c r="X126" i="2" s="1"/>
  <c r="Y126" i="2"/>
  <c r="W126" i="2"/>
  <c r="AA126" i="2" l="1"/>
  <c r="Z126" i="2"/>
  <c r="AJ126" i="2"/>
  <c r="N127" i="2" s="1"/>
  <c r="AH126" i="2"/>
  <c r="L127" i="2" s="1"/>
  <c r="AI126" i="2"/>
  <c r="M127" i="2" s="1"/>
  <c r="AB126" i="2" l="1"/>
  <c r="F127" i="2" s="1"/>
  <c r="AD126" i="2"/>
  <c r="H127" i="2" s="1"/>
  <c r="AC126" i="2"/>
  <c r="G127" i="2" s="1"/>
  <c r="AG126" i="2"/>
  <c r="K127" i="2" s="1"/>
  <c r="AE126" i="2"/>
  <c r="I127" i="2" s="1"/>
  <c r="AF126" i="2"/>
  <c r="J127" i="2" s="1"/>
  <c r="O127" i="2" l="1"/>
  <c r="P127" i="2" s="1"/>
  <c r="Q127" i="2"/>
  <c r="R127" i="2" s="1"/>
  <c r="S127" i="2" l="1"/>
  <c r="T127" i="2" s="1"/>
  <c r="V127" i="2" l="1"/>
  <c r="U127" i="2"/>
  <c r="X127" i="2" s="1"/>
  <c r="W127" i="2" l="1"/>
  <c r="Y127" i="2"/>
  <c r="AA127" i="2" l="1"/>
  <c r="Z127" i="2"/>
  <c r="AI127" i="2"/>
  <c r="M128" i="2" s="1"/>
  <c r="AH127" i="2"/>
  <c r="L128" i="2" s="1"/>
  <c r="AJ127" i="2"/>
  <c r="N128" i="2" s="1"/>
  <c r="AD127" i="2" l="1"/>
  <c r="H128" i="2" s="1"/>
  <c r="AC127" i="2"/>
  <c r="G128" i="2" s="1"/>
  <c r="AB127" i="2"/>
  <c r="F128" i="2" s="1"/>
  <c r="AF127" i="2"/>
  <c r="J128" i="2" s="1"/>
  <c r="AG127" i="2"/>
  <c r="K128" i="2" s="1"/>
  <c r="AE127" i="2"/>
  <c r="I128" i="2" s="1"/>
  <c r="O128" i="2" l="1"/>
  <c r="P128" i="2" s="1"/>
  <c r="Q128" i="2"/>
  <c r="R128" i="2" s="1"/>
  <c r="S128" i="2" l="1"/>
  <c r="T128" i="2" s="1"/>
  <c r="V128" i="2" l="1"/>
  <c r="U128" i="2"/>
  <c r="X128" i="2" s="1"/>
  <c r="W128" i="2" l="1"/>
  <c r="Y128" i="2"/>
  <c r="AA128" i="2" l="1"/>
  <c r="Z128" i="2"/>
  <c r="AJ128" i="2"/>
  <c r="N129" i="2" s="1"/>
  <c r="AI128" i="2"/>
  <c r="M129" i="2" s="1"/>
  <c r="AH128" i="2"/>
  <c r="L129" i="2" s="1"/>
  <c r="AB128" i="2" l="1"/>
  <c r="F129" i="2" s="1"/>
  <c r="AD128" i="2"/>
  <c r="H129" i="2" s="1"/>
  <c r="AC128" i="2"/>
  <c r="G129" i="2" s="1"/>
  <c r="AF128" i="2"/>
  <c r="J129" i="2" s="1"/>
  <c r="AG128" i="2"/>
  <c r="K129" i="2" s="1"/>
  <c r="AE128" i="2"/>
  <c r="I129" i="2" s="1"/>
  <c r="O129" i="2" l="1"/>
  <c r="P129" i="2" s="1"/>
  <c r="Q129" i="2"/>
  <c r="R129" i="2" s="1"/>
  <c r="S129" i="2" l="1"/>
  <c r="T129" i="2" s="1"/>
  <c r="V129" i="2" l="1"/>
  <c r="U129" i="2"/>
  <c r="X129" i="2" s="1"/>
  <c r="W129" i="2" l="1"/>
  <c r="Y129" i="2"/>
  <c r="Z129" i="2" l="1"/>
  <c r="AA129" i="2"/>
  <c r="AJ129" i="2"/>
  <c r="N130" i="2" s="1"/>
  <c r="AH129" i="2"/>
  <c r="L130" i="2" s="1"/>
  <c r="AI129" i="2"/>
  <c r="M130" i="2" s="1"/>
  <c r="AF129" i="2" l="1"/>
  <c r="J130" i="2" s="1"/>
  <c r="AE129" i="2"/>
  <c r="I130" i="2" s="1"/>
  <c r="AG129" i="2"/>
  <c r="K130" i="2" s="1"/>
  <c r="AD129" i="2"/>
  <c r="H130" i="2" s="1"/>
  <c r="AC129" i="2"/>
  <c r="G130" i="2" s="1"/>
  <c r="AB129" i="2"/>
  <c r="F130" i="2" s="1"/>
  <c r="Q130" i="2" l="1"/>
  <c r="R130" i="2" s="1"/>
  <c r="O130" i="2"/>
  <c r="P130" i="2" s="1"/>
  <c r="S130" i="2" s="1"/>
  <c r="T130" i="2" s="1"/>
  <c r="V130" i="2" l="1"/>
  <c r="U130" i="2"/>
  <c r="X130" i="2" s="1"/>
  <c r="Y130" i="2" l="1"/>
  <c r="W130" i="2"/>
  <c r="Z130" i="2" l="1"/>
  <c r="AA130" i="2"/>
  <c r="AH130" i="2"/>
  <c r="L131" i="2" s="1"/>
  <c r="AI130" i="2"/>
  <c r="M131" i="2" s="1"/>
  <c r="AJ130" i="2"/>
  <c r="N131" i="2" s="1"/>
  <c r="AF130" i="2" l="1"/>
  <c r="J131" i="2" s="1"/>
  <c r="AE130" i="2"/>
  <c r="I131" i="2" s="1"/>
  <c r="AG130" i="2"/>
  <c r="K131" i="2" s="1"/>
  <c r="AD130" i="2"/>
  <c r="H131" i="2" s="1"/>
  <c r="AB130" i="2"/>
  <c r="F131" i="2" s="1"/>
  <c r="AC130" i="2"/>
  <c r="G131" i="2" s="1"/>
  <c r="Q131" i="2" l="1"/>
  <c r="R131" i="2" s="1"/>
  <c r="O131" i="2"/>
  <c r="P131" i="2" s="1"/>
  <c r="S131" i="2" s="1"/>
  <c r="T131" i="2" s="1"/>
  <c r="V131" i="2" l="1"/>
  <c r="U131" i="2"/>
  <c r="X131" i="2" s="1"/>
  <c r="Y131" i="2" l="1"/>
  <c r="W131" i="2"/>
  <c r="Z131" i="2" l="1"/>
  <c r="AA131" i="2"/>
  <c r="AJ131" i="2"/>
  <c r="N132" i="2" s="1"/>
  <c r="AH131" i="2"/>
  <c r="L132" i="2" s="1"/>
  <c r="AI131" i="2"/>
  <c r="M132" i="2" s="1"/>
  <c r="AG131" i="2" l="1"/>
  <c r="K132" i="2" s="1"/>
  <c r="AE131" i="2"/>
  <c r="I132" i="2" s="1"/>
  <c r="AF131" i="2"/>
  <c r="J132" i="2" s="1"/>
  <c r="AD131" i="2"/>
  <c r="H132" i="2" s="1"/>
  <c r="AC131" i="2"/>
  <c r="G132" i="2" s="1"/>
  <c r="AB131" i="2"/>
  <c r="F132" i="2" s="1"/>
  <c r="Q132" i="2" l="1"/>
  <c r="R132" i="2" s="1"/>
  <c r="O132" i="2"/>
  <c r="P132" i="2" s="1"/>
  <c r="S132" i="2" l="1"/>
  <c r="T132" i="2" s="1"/>
  <c r="V132" i="2" s="1"/>
  <c r="U132" i="2" l="1"/>
  <c r="X132" i="2" s="1"/>
  <c r="Y132" i="2"/>
  <c r="W132" i="2"/>
  <c r="AA132" i="2" l="1"/>
  <c r="Z132" i="2"/>
  <c r="AI132" i="2"/>
  <c r="M133" i="2" s="1"/>
  <c r="AJ132" i="2"/>
  <c r="N133" i="2" s="1"/>
  <c r="AH132" i="2"/>
  <c r="L133" i="2" s="1"/>
  <c r="AD132" i="2" l="1"/>
  <c r="H133" i="2" s="1"/>
  <c r="AB132" i="2"/>
  <c r="F133" i="2" s="1"/>
  <c r="AC132" i="2"/>
  <c r="G133" i="2" s="1"/>
  <c r="AF132" i="2"/>
  <c r="J133" i="2" s="1"/>
  <c r="AG132" i="2"/>
  <c r="K133" i="2" s="1"/>
  <c r="AE132" i="2"/>
  <c r="I133" i="2" s="1"/>
  <c r="O133" i="2" l="1"/>
  <c r="P133" i="2" s="1"/>
  <c r="Q133" i="2"/>
  <c r="R133" i="2" s="1"/>
  <c r="S133" i="2" l="1"/>
  <c r="T133" i="2" s="1"/>
  <c r="V133" i="2" l="1"/>
  <c r="U133" i="2"/>
  <c r="X133" i="2" s="1"/>
  <c r="Y133" i="2" l="1"/>
  <c r="W133" i="2"/>
  <c r="AA133" i="2" l="1"/>
  <c r="Z133" i="2"/>
  <c r="AJ133" i="2"/>
  <c r="N134" i="2" s="1"/>
  <c r="AI133" i="2"/>
  <c r="M134" i="2" s="1"/>
  <c r="AH133" i="2"/>
  <c r="L134" i="2" s="1"/>
  <c r="AB133" i="2" l="1"/>
  <c r="F134" i="2" s="1"/>
  <c r="AC133" i="2"/>
  <c r="G134" i="2" s="1"/>
  <c r="AD133" i="2"/>
  <c r="H134" i="2" s="1"/>
  <c r="AF133" i="2"/>
  <c r="J134" i="2" s="1"/>
  <c r="AG133" i="2"/>
  <c r="K134" i="2" s="1"/>
  <c r="AE133" i="2"/>
  <c r="I134" i="2" s="1"/>
  <c r="O134" i="2" l="1"/>
  <c r="P134" i="2" s="1"/>
  <c r="Q134" i="2"/>
  <c r="R134" i="2" s="1"/>
  <c r="S134" i="2" l="1"/>
  <c r="T134" i="2" s="1"/>
  <c r="V134" i="2" l="1"/>
  <c r="U134" i="2"/>
  <c r="X134" i="2" s="1"/>
  <c r="W134" i="2" l="1"/>
  <c r="Y134" i="2"/>
  <c r="Z134" i="2" l="1"/>
  <c r="AA134" i="2"/>
  <c r="AI134" i="2"/>
  <c r="M135" i="2" s="1"/>
  <c r="AH134" i="2"/>
  <c r="L135" i="2" s="1"/>
  <c r="AJ134" i="2"/>
  <c r="N135" i="2" s="1"/>
  <c r="AF134" i="2" l="1"/>
  <c r="J135" i="2" s="1"/>
  <c r="AG134" i="2"/>
  <c r="K135" i="2" s="1"/>
  <c r="AE134" i="2"/>
  <c r="I135" i="2" s="1"/>
  <c r="AD134" i="2"/>
  <c r="H135" i="2" s="1"/>
  <c r="AB134" i="2"/>
  <c r="F135" i="2" s="1"/>
  <c r="AC134" i="2"/>
  <c r="G135" i="2" s="1"/>
  <c r="Q135" i="2" l="1"/>
  <c r="R135" i="2" s="1"/>
  <c r="O135" i="2"/>
  <c r="P135" i="2" s="1"/>
  <c r="S135" i="2" s="1"/>
  <c r="T135" i="2" s="1"/>
  <c r="V135" i="2" l="1"/>
  <c r="U135" i="2"/>
  <c r="X135" i="2" s="1"/>
  <c r="Y135" i="2" l="1"/>
  <c r="W135" i="2"/>
  <c r="Z135" i="2" l="1"/>
  <c r="AA135" i="2"/>
  <c r="AH135" i="2"/>
  <c r="L136" i="2" s="1"/>
  <c r="AJ135" i="2"/>
  <c r="N136" i="2" s="1"/>
  <c r="AI135" i="2"/>
  <c r="M136" i="2" s="1"/>
  <c r="AF135" i="2" l="1"/>
  <c r="J136" i="2" s="1"/>
  <c r="AG135" i="2"/>
  <c r="K136" i="2" s="1"/>
  <c r="AE135" i="2"/>
  <c r="I136" i="2" s="1"/>
  <c r="AD135" i="2"/>
  <c r="H136" i="2" s="1"/>
  <c r="AC135" i="2"/>
  <c r="G136" i="2" s="1"/>
  <c r="AB135" i="2"/>
  <c r="F136" i="2" s="1"/>
  <c r="Q136" i="2" l="1"/>
  <c r="R136" i="2" s="1"/>
  <c r="O136" i="2"/>
  <c r="P136" i="2" s="1"/>
  <c r="S136" i="2" l="1"/>
  <c r="T136" i="2" s="1"/>
  <c r="V136" i="2" s="1"/>
  <c r="U136" i="2" l="1"/>
  <c r="X136" i="2" s="1"/>
  <c r="W136" i="2"/>
  <c r="Y136" i="2"/>
  <c r="AA136" i="2" l="1"/>
  <c r="Z136" i="2"/>
  <c r="AI136" i="2"/>
  <c r="M137" i="2" s="1"/>
  <c r="AJ136" i="2"/>
  <c r="N137" i="2" s="1"/>
  <c r="AH136" i="2"/>
  <c r="L137" i="2" s="1"/>
  <c r="AB136" i="2" l="1"/>
  <c r="F137" i="2" s="1"/>
  <c r="AC136" i="2"/>
  <c r="G137" i="2" s="1"/>
  <c r="AD136" i="2"/>
  <c r="H137" i="2" s="1"/>
  <c r="AG136" i="2"/>
  <c r="K137" i="2" s="1"/>
  <c r="AE136" i="2"/>
  <c r="I137" i="2" s="1"/>
  <c r="AF136" i="2"/>
  <c r="J137" i="2" s="1"/>
  <c r="O137" i="2" l="1"/>
  <c r="P137" i="2" s="1"/>
  <c r="Q137" i="2"/>
  <c r="R137" i="2" s="1"/>
  <c r="S137" i="2" l="1"/>
  <c r="T137" i="2" s="1"/>
  <c r="V137" i="2" l="1"/>
  <c r="U137" i="2"/>
  <c r="X137" i="2" s="1"/>
  <c r="Y137" i="2" l="1"/>
  <c r="W137" i="2"/>
  <c r="Z137" i="2" l="1"/>
  <c r="AA137" i="2"/>
  <c r="AH137" i="2"/>
  <c r="L138" i="2" s="1"/>
  <c r="AJ137" i="2"/>
  <c r="N138" i="2" s="1"/>
  <c r="AI137" i="2"/>
  <c r="M138" i="2" s="1"/>
  <c r="AG137" i="2" l="1"/>
  <c r="K138" i="2" s="1"/>
  <c r="AE137" i="2"/>
  <c r="I138" i="2" s="1"/>
  <c r="AF137" i="2"/>
  <c r="J138" i="2" s="1"/>
  <c r="AC137" i="2"/>
  <c r="G138" i="2" s="1"/>
  <c r="AD137" i="2"/>
  <c r="H138" i="2" s="1"/>
  <c r="AB137" i="2"/>
  <c r="F138" i="2" s="1"/>
  <c r="Q138" i="2" l="1"/>
  <c r="R138" i="2" s="1"/>
  <c r="O138" i="2"/>
  <c r="P138" i="2" s="1"/>
  <c r="S138" i="2" s="1"/>
  <c r="T138" i="2" s="1"/>
  <c r="V138" i="2" l="1"/>
  <c r="U138" i="2"/>
  <c r="X138" i="2" s="1"/>
  <c r="W138" i="2" l="1"/>
  <c r="Y138" i="2"/>
  <c r="Z138" i="2" l="1"/>
  <c r="AA138" i="2"/>
  <c r="AJ138" i="2"/>
  <c r="N139" i="2" s="1"/>
  <c r="AI138" i="2"/>
  <c r="M139" i="2" s="1"/>
  <c r="AH138" i="2"/>
  <c r="L139" i="2" s="1"/>
  <c r="AF138" i="2" l="1"/>
  <c r="J139" i="2" s="1"/>
  <c r="AG138" i="2"/>
  <c r="K139" i="2" s="1"/>
  <c r="AE138" i="2"/>
  <c r="I139" i="2" s="1"/>
  <c r="AC138" i="2"/>
  <c r="G139" i="2" s="1"/>
  <c r="AB138" i="2"/>
  <c r="F139" i="2" s="1"/>
  <c r="AD138" i="2"/>
  <c r="H139" i="2" s="1"/>
  <c r="Q139" i="2" l="1"/>
  <c r="R139" i="2" s="1"/>
  <c r="O139" i="2"/>
  <c r="P139" i="2" s="1"/>
  <c r="S139" i="2" s="1"/>
  <c r="T139" i="2" s="1"/>
  <c r="V139" i="2" l="1"/>
  <c r="U139" i="2"/>
  <c r="X139" i="2" s="1"/>
  <c r="Y139" i="2" l="1"/>
  <c r="W139" i="2"/>
  <c r="AA139" i="2" l="1"/>
  <c r="Z139" i="2"/>
  <c r="AH139" i="2"/>
  <c r="L140" i="2" s="1"/>
  <c r="AI139" i="2"/>
  <c r="M140" i="2" s="1"/>
  <c r="AJ139" i="2"/>
  <c r="N140" i="2" s="1"/>
  <c r="AB139" i="2" l="1"/>
  <c r="F140" i="2" s="1"/>
  <c r="AC139" i="2"/>
  <c r="G140" i="2" s="1"/>
  <c r="AD139" i="2"/>
  <c r="H140" i="2" s="1"/>
  <c r="AE139" i="2"/>
  <c r="I140" i="2" s="1"/>
  <c r="AF139" i="2"/>
  <c r="J140" i="2" s="1"/>
  <c r="AG139" i="2"/>
  <c r="K140" i="2" s="1"/>
  <c r="Q140" i="2" l="1"/>
  <c r="R140" i="2" s="1"/>
  <c r="O140" i="2"/>
  <c r="P140" i="2" s="1"/>
  <c r="S140" i="2" l="1"/>
  <c r="T140" i="2" s="1"/>
  <c r="V140" i="2" s="1"/>
  <c r="U140" i="2" l="1"/>
  <c r="X140" i="2" s="1"/>
  <c r="Y140" i="2"/>
  <c r="W140" i="2"/>
  <c r="AA140" i="2" l="1"/>
  <c r="Z140" i="2"/>
  <c r="AJ140" i="2"/>
  <c r="N141" i="2" s="1"/>
  <c r="AI140" i="2"/>
  <c r="M141" i="2" s="1"/>
  <c r="AH140" i="2"/>
  <c r="L141" i="2" s="1"/>
  <c r="AD140" i="2" l="1"/>
  <c r="H141" i="2" s="1"/>
  <c r="AB140" i="2"/>
  <c r="F141" i="2" s="1"/>
  <c r="AC140" i="2"/>
  <c r="G141" i="2" s="1"/>
  <c r="AE140" i="2"/>
  <c r="I141" i="2" s="1"/>
  <c r="AG140" i="2"/>
  <c r="K141" i="2" s="1"/>
  <c r="AF140" i="2"/>
  <c r="J141" i="2" s="1"/>
  <c r="Q141" i="2" l="1"/>
  <c r="R141" i="2" s="1"/>
  <c r="O141" i="2"/>
  <c r="P141" i="2" s="1"/>
  <c r="S141" i="2" l="1"/>
  <c r="T141" i="2" s="1"/>
  <c r="V141" i="2" s="1"/>
  <c r="U141" i="2"/>
  <c r="X141" i="2" s="1"/>
  <c r="Y141" i="2" l="1"/>
  <c r="W141" i="2"/>
  <c r="AA141" i="2" l="1"/>
  <c r="Z141" i="2"/>
  <c r="AH141" i="2"/>
  <c r="L142" i="2" s="1"/>
  <c r="AJ141" i="2"/>
  <c r="N142" i="2" s="1"/>
  <c r="AI141" i="2"/>
  <c r="M142" i="2" s="1"/>
  <c r="AC141" i="2" l="1"/>
  <c r="G142" i="2" s="1"/>
  <c r="AB141" i="2"/>
  <c r="F142" i="2" s="1"/>
  <c r="AD141" i="2"/>
  <c r="H142" i="2" s="1"/>
  <c r="AE141" i="2"/>
  <c r="I142" i="2" s="1"/>
  <c r="AF141" i="2"/>
  <c r="J142" i="2" s="1"/>
  <c r="AG141" i="2"/>
  <c r="K142" i="2" s="1"/>
  <c r="Q142" i="2" l="1"/>
  <c r="R142" i="2" s="1"/>
  <c r="O142" i="2"/>
  <c r="P142" i="2" s="1"/>
  <c r="S142" i="2" s="1"/>
  <c r="T142" i="2" s="1"/>
  <c r="V142" i="2" l="1"/>
  <c r="U142" i="2"/>
  <c r="X142" i="2" s="1"/>
  <c r="W142" i="2" l="1"/>
  <c r="Y142" i="2"/>
  <c r="Z142" i="2" l="1"/>
  <c r="AA142" i="2"/>
  <c r="AI142" i="2"/>
  <c r="M143" i="2" s="1"/>
  <c r="AJ142" i="2"/>
  <c r="N143" i="2" s="1"/>
  <c r="AH142" i="2"/>
  <c r="L143" i="2" s="1"/>
  <c r="AE142" i="2" l="1"/>
  <c r="I143" i="2" s="1"/>
  <c r="AG142" i="2"/>
  <c r="K143" i="2" s="1"/>
  <c r="AF142" i="2"/>
  <c r="J143" i="2" s="1"/>
  <c r="AC142" i="2"/>
  <c r="G143" i="2" s="1"/>
  <c r="AD142" i="2"/>
  <c r="H143" i="2" s="1"/>
  <c r="AB142" i="2"/>
  <c r="F143" i="2" s="1"/>
  <c r="Q143" i="2" l="1"/>
  <c r="R143" i="2" s="1"/>
  <c r="O143" i="2"/>
  <c r="P143" i="2" s="1"/>
  <c r="S143" i="2" s="1"/>
  <c r="T143" i="2" s="1"/>
  <c r="V143" i="2" l="1"/>
  <c r="U143" i="2"/>
  <c r="X143" i="2" s="1"/>
  <c r="W143" i="2" l="1"/>
  <c r="Y143" i="2"/>
  <c r="Z143" i="2" l="1"/>
  <c r="AA143" i="2"/>
  <c r="AI143" i="2"/>
  <c r="M144" i="2" s="1"/>
  <c r="AH143" i="2"/>
  <c r="L144" i="2" s="1"/>
  <c r="AJ143" i="2"/>
  <c r="N144" i="2" s="1"/>
  <c r="AF143" i="2" l="1"/>
  <c r="J144" i="2" s="1"/>
  <c r="AG143" i="2"/>
  <c r="K144" i="2" s="1"/>
  <c r="AE143" i="2"/>
  <c r="I144" i="2" s="1"/>
  <c r="AC143" i="2"/>
  <c r="G144" i="2" s="1"/>
  <c r="AD143" i="2"/>
  <c r="H144" i="2" s="1"/>
  <c r="AB143" i="2"/>
  <c r="F144" i="2" s="1"/>
  <c r="Q144" i="2" l="1"/>
  <c r="R144" i="2" s="1"/>
  <c r="O144" i="2"/>
  <c r="P144" i="2" s="1"/>
  <c r="S144" i="2" s="1"/>
  <c r="T144" i="2" s="1"/>
  <c r="V144" i="2" l="1"/>
  <c r="U144" i="2"/>
  <c r="X144" i="2" s="1"/>
  <c r="Y144" i="2" l="1"/>
  <c r="W144" i="2"/>
  <c r="AA144" i="2" l="1"/>
  <c r="Z144" i="2"/>
  <c r="AJ144" i="2"/>
  <c r="N145" i="2" s="1"/>
  <c r="AI144" i="2"/>
  <c r="M145" i="2" s="1"/>
  <c r="AH144" i="2"/>
  <c r="L145" i="2" s="1"/>
  <c r="AC144" i="2" l="1"/>
  <c r="G145" i="2" s="1"/>
  <c r="AD144" i="2"/>
  <c r="H145" i="2" s="1"/>
  <c r="AB144" i="2"/>
  <c r="F145" i="2" s="1"/>
  <c r="AG144" i="2"/>
  <c r="K145" i="2" s="1"/>
  <c r="AE144" i="2"/>
  <c r="I145" i="2" s="1"/>
  <c r="AF144" i="2"/>
  <c r="J145" i="2" s="1"/>
  <c r="O145" i="2" l="1"/>
  <c r="P145" i="2" s="1"/>
  <c r="Q145" i="2"/>
  <c r="R145" i="2" s="1"/>
  <c r="S145" i="2" l="1"/>
  <c r="T145" i="2" s="1"/>
  <c r="V145" i="2" l="1"/>
  <c r="U145" i="2"/>
  <c r="X145" i="2" s="1"/>
  <c r="Y145" i="2" l="1"/>
  <c r="W145" i="2"/>
  <c r="Z145" i="2" l="1"/>
  <c r="AA145" i="2"/>
  <c r="AI145" i="2"/>
  <c r="M146" i="2" s="1"/>
  <c r="AH145" i="2"/>
  <c r="L146" i="2" s="1"/>
  <c r="AJ145" i="2"/>
  <c r="N146" i="2" s="1"/>
  <c r="AG145" i="2" l="1"/>
  <c r="K146" i="2" s="1"/>
  <c r="AF145" i="2"/>
  <c r="J146" i="2" s="1"/>
  <c r="AE145" i="2"/>
  <c r="I146" i="2" s="1"/>
  <c r="AC145" i="2"/>
  <c r="G146" i="2" s="1"/>
  <c r="AD145" i="2"/>
  <c r="H146" i="2" s="1"/>
  <c r="AB145" i="2"/>
  <c r="F146" i="2" s="1"/>
  <c r="Q146" i="2" l="1"/>
  <c r="R146" i="2" s="1"/>
  <c r="O146" i="2"/>
  <c r="P146" i="2" s="1"/>
  <c r="S146" i="2" l="1"/>
  <c r="T146" i="2" s="1"/>
  <c r="U146" i="2" s="1"/>
  <c r="X146" i="2" s="1"/>
  <c r="V146" i="2" l="1"/>
  <c r="Y146" i="2" s="1"/>
  <c r="W146" i="2" l="1"/>
  <c r="Z146" i="2"/>
  <c r="AA146" i="2"/>
  <c r="AH146" i="2"/>
  <c r="L147" i="2" s="1"/>
  <c r="AJ146" i="2"/>
  <c r="N147" i="2" s="1"/>
  <c r="AI146" i="2"/>
  <c r="M147" i="2" s="1"/>
  <c r="AF146" i="2" l="1"/>
  <c r="J147" i="2" s="1"/>
  <c r="AG146" i="2"/>
  <c r="K147" i="2" s="1"/>
  <c r="AE146" i="2"/>
  <c r="I147" i="2" s="1"/>
  <c r="AC146" i="2"/>
  <c r="G147" i="2" s="1"/>
  <c r="AB146" i="2"/>
  <c r="F147" i="2" s="1"/>
  <c r="AD146" i="2"/>
  <c r="H147" i="2" s="1"/>
  <c r="Q147" i="2" l="1"/>
  <c r="R147" i="2" s="1"/>
  <c r="O147" i="2"/>
  <c r="P147" i="2" s="1"/>
  <c r="S147" i="2" s="1"/>
  <c r="T147" i="2" s="1"/>
  <c r="V147" i="2" l="1"/>
  <c r="U147" i="2"/>
  <c r="X147" i="2" s="1"/>
  <c r="W147" i="2" l="1"/>
  <c r="Y147" i="2"/>
  <c r="AA147" i="2" l="1"/>
  <c r="Z147" i="2"/>
  <c r="AI147" i="2"/>
  <c r="M148" i="2" s="1"/>
  <c r="AH147" i="2"/>
  <c r="L148" i="2" s="1"/>
  <c r="AJ147" i="2"/>
  <c r="N148" i="2" s="1"/>
  <c r="AC147" i="2" l="1"/>
  <c r="G148" i="2" s="1"/>
  <c r="AD147" i="2"/>
  <c r="H148" i="2" s="1"/>
  <c r="AB147" i="2"/>
  <c r="F148" i="2" s="1"/>
  <c r="AE147" i="2"/>
  <c r="I148" i="2" s="1"/>
  <c r="AF147" i="2"/>
  <c r="J148" i="2" s="1"/>
  <c r="AG147" i="2"/>
  <c r="K148" i="2" s="1"/>
  <c r="O148" i="2" l="1"/>
  <c r="P148" i="2" s="1"/>
  <c r="Q148" i="2"/>
  <c r="R148" i="2" s="1"/>
  <c r="S148" i="2" l="1"/>
  <c r="T148" i="2" s="1"/>
  <c r="V148" i="2" l="1"/>
  <c r="U148" i="2"/>
  <c r="X148" i="2" s="1"/>
  <c r="Y148" i="2" l="1"/>
  <c r="W148" i="2"/>
  <c r="Z148" i="2" l="1"/>
  <c r="AA148" i="2"/>
  <c r="AI148" i="2"/>
  <c r="M149" i="2" s="1"/>
  <c r="AJ148" i="2"/>
  <c r="N149" i="2" s="1"/>
  <c r="AH148" i="2"/>
  <c r="L149" i="2" s="1"/>
  <c r="AE148" i="2" l="1"/>
  <c r="I149" i="2" s="1"/>
  <c r="AG148" i="2"/>
  <c r="K149" i="2" s="1"/>
  <c r="AF148" i="2"/>
  <c r="J149" i="2" s="1"/>
  <c r="AC148" i="2"/>
  <c r="G149" i="2" s="1"/>
  <c r="AD148" i="2"/>
  <c r="H149" i="2" s="1"/>
  <c r="AB148" i="2"/>
  <c r="F149" i="2" s="1"/>
  <c r="O149" i="2" l="1"/>
  <c r="P149" i="2" s="1"/>
  <c r="Q149" i="2"/>
  <c r="R149" i="2" s="1"/>
  <c r="S149" i="2" l="1"/>
  <c r="T149" i="2" s="1"/>
  <c r="V149" i="2" l="1"/>
  <c r="U149" i="2"/>
  <c r="X149" i="2" s="1"/>
  <c r="Y149" i="2" l="1"/>
  <c r="W149" i="2"/>
  <c r="AA149" i="2" l="1"/>
  <c r="Z149" i="2"/>
  <c r="AI149" i="2"/>
  <c r="M150" i="2" s="1"/>
  <c r="AJ149" i="2"/>
  <c r="N150" i="2" s="1"/>
  <c r="AH149" i="2"/>
  <c r="L150" i="2" s="1"/>
  <c r="AC149" i="2" l="1"/>
  <c r="G150" i="2" s="1"/>
  <c r="AB149" i="2"/>
  <c r="F150" i="2" s="1"/>
  <c r="AD149" i="2"/>
  <c r="H150" i="2" s="1"/>
  <c r="AG149" i="2"/>
  <c r="K150" i="2" s="1"/>
  <c r="AF149" i="2"/>
  <c r="J150" i="2" s="1"/>
  <c r="AE149" i="2"/>
  <c r="I150" i="2" s="1"/>
  <c r="O150" i="2" l="1"/>
  <c r="P150" i="2" s="1"/>
  <c r="Q150" i="2"/>
  <c r="R150" i="2" s="1"/>
  <c r="S150" i="2" l="1"/>
  <c r="T150" i="2" s="1"/>
  <c r="V150" i="2" l="1"/>
  <c r="U150" i="2"/>
  <c r="X150" i="2" s="1"/>
  <c r="W150" i="2" l="1"/>
  <c r="Y150" i="2"/>
  <c r="AA150" i="2" l="1"/>
  <c r="Z150" i="2"/>
  <c r="AJ150" i="2"/>
  <c r="N151" i="2" s="1"/>
  <c r="AH150" i="2"/>
  <c r="L151" i="2" s="1"/>
  <c r="AI150" i="2"/>
  <c r="M151" i="2" s="1"/>
  <c r="AD150" i="2" l="1"/>
  <c r="H151" i="2" s="1"/>
  <c r="AC150" i="2"/>
  <c r="G151" i="2" s="1"/>
  <c r="AB150" i="2"/>
  <c r="F151" i="2" s="1"/>
  <c r="AG150" i="2"/>
  <c r="K151" i="2" s="1"/>
  <c r="AE150" i="2"/>
  <c r="I151" i="2" s="1"/>
  <c r="AF150" i="2"/>
  <c r="J151" i="2" s="1"/>
  <c r="O151" i="2" l="1"/>
  <c r="P151" i="2" s="1"/>
  <c r="Q151" i="2"/>
  <c r="R151" i="2" s="1"/>
  <c r="S151" i="2" l="1"/>
  <c r="T151" i="2" s="1"/>
  <c r="V151" i="2" l="1"/>
  <c r="U151" i="2"/>
  <c r="X151" i="2" s="1"/>
  <c r="W151" i="2" l="1"/>
  <c r="Y151" i="2"/>
  <c r="AA151" i="2" l="1"/>
  <c r="Z151" i="2"/>
  <c r="AH151" i="2"/>
  <c r="L152" i="2" s="1"/>
  <c r="AI151" i="2"/>
  <c r="M152" i="2" s="1"/>
  <c r="AJ151" i="2"/>
  <c r="N152" i="2" s="1"/>
  <c r="AB151" i="2" l="1"/>
  <c r="F152" i="2" s="1"/>
  <c r="AD151" i="2"/>
  <c r="H152" i="2" s="1"/>
  <c r="AC151" i="2"/>
  <c r="G152" i="2" s="1"/>
  <c r="AF151" i="2"/>
  <c r="J152" i="2" s="1"/>
  <c r="AG151" i="2"/>
  <c r="K152" i="2" s="1"/>
  <c r="AE151" i="2"/>
  <c r="I152" i="2" s="1"/>
  <c r="O152" i="2" l="1"/>
  <c r="P152" i="2" s="1"/>
  <c r="Q152" i="2"/>
  <c r="R152" i="2" s="1"/>
  <c r="S152" i="2" l="1"/>
  <c r="T152" i="2" s="1"/>
  <c r="V152" i="2" l="1"/>
  <c r="U152" i="2"/>
  <c r="X152" i="2" s="1"/>
  <c r="Y152" i="2" l="1"/>
  <c r="W152" i="2"/>
  <c r="Z152" i="2" l="1"/>
  <c r="AA152" i="2"/>
  <c r="AI152" i="2"/>
  <c r="M153" i="2" s="1"/>
  <c r="AJ152" i="2"/>
  <c r="N153" i="2" s="1"/>
  <c r="AH152" i="2"/>
  <c r="L153" i="2" s="1"/>
  <c r="AF152" i="2" l="1"/>
  <c r="J153" i="2" s="1"/>
  <c r="AE152" i="2"/>
  <c r="I153" i="2" s="1"/>
  <c r="AG152" i="2"/>
  <c r="K153" i="2" s="1"/>
  <c r="AD152" i="2"/>
  <c r="H153" i="2" s="1"/>
  <c r="AC152" i="2"/>
  <c r="G153" i="2" s="1"/>
  <c r="AB152" i="2"/>
  <c r="F153" i="2" s="1"/>
  <c r="Q153" i="2" l="1"/>
  <c r="R153" i="2" s="1"/>
  <c r="O153" i="2"/>
  <c r="P153" i="2" s="1"/>
  <c r="S153" i="2" s="1"/>
  <c r="T153" i="2" s="1"/>
  <c r="V153" i="2" l="1"/>
  <c r="U153" i="2"/>
  <c r="X153" i="2" s="1"/>
  <c r="Y153" i="2" l="1"/>
  <c r="W153" i="2"/>
  <c r="Z153" i="2" l="1"/>
  <c r="AA153" i="2"/>
  <c r="AJ153" i="2"/>
  <c r="N154" i="2" s="1"/>
  <c r="AH153" i="2"/>
  <c r="L154" i="2" s="1"/>
  <c r="AI153" i="2"/>
  <c r="M154" i="2" s="1"/>
  <c r="AE153" i="2" l="1"/>
  <c r="I154" i="2" s="1"/>
  <c r="AF153" i="2"/>
  <c r="J154" i="2" s="1"/>
  <c r="AG153" i="2"/>
  <c r="K154" i="2" s="1"/>
  <c r="AD153" i="2"/>
  <c r="H154" i="2" s="1"/>
  <c r="AC153" i="2"/>
  <c r="G154" i="2" s="1"/>
  <c r="AB153" i="2"/>
  <c r="F154" i="2" s="1"/>
  <c r="Q154" i="2" l="1"/>
  <c r="R154" i="2" s="1"/>
  <c r="O154" i="2"/>
  <c r="P154" i="2" s="1"/>
  <c r="S154" i="2" l="1"/>
  <c r="T154" i="2" s="1"/>
  <c r="V154" i="2" s="1"/>
  <c r="U154" i="2" l="1"/>
  <c r="X154" i="2" s="1"/>
  <c r="Y154" i="2"/>
  <c r="W154" i="2"/>
  <c r="AA154" i="2" l="1"/>
  <c r="Z154" i="2"/>
  <c r="AJ154" i="2"/>
  <c r="N155" i="2" s="1"/>
  <c r="AH154" i="2"/>
  <c r="L155" i="2" s="1"/>
  <c r="AI154" i="2"/>
  <c r="M155" i="2" s="1"/>
  <c r="AD154" i="2" l="1"/>
  <c r="H155" i="2" s="1"/>
  <c r="AB154" i="2"/>
  <c r="F155" i="2" s="1"/>
  <c r="AC154" i="2"/>
  <c r="G155" i="2" s="1"/>
  <c r="AF154" i="2"/>
  <c r="J155" i="2" s="1"/>
  <c r="AE154" i="2"/>
  <c r="I155" i="2" s="1"/>
  <c r="AG154" i="2"/>
  <c r="K155" i="2" s="1"/>
  <c r="O155" i="2" l="1"/>
  <c r="P155" i="2" s="1"/>
  <c r="Q155" i="2"/>
  <c r="R155" i="2" s="1"/>
  <c r="S155" i="2" l="1"/>
  <c r="T155" i="2" s="1"/>
  <c r="V155" i="2" l="1"/>
  <c r="U155" i="2"/>
  <c r="X155" i="2" s="1"/>
  <c r="Y155" i="2" l="1"/>
  <c r="W155" i="2"/>
  <c r="Z155" i="2" l="1"/>
  <c r="AA155" i="2"/>
  <c r="AJ155" i="2"/>
  <c r="N156" i="2" s="1"/>
  <c r="AH155" i="2"/>
  <c r="L156" i="2" s="1"/>
  <c r="AI155" i="2"/>
  <c r="M156" i="2" s="1"/>
  <c r="AF155" i="2" l="1"/>
  <c r="J156" i="2" s="1"/>
  <c r="AG155" i="2"/>
  <c r="K156" i="2" s="1"/>
  <c r="AE155" i="2"/>
  <c r="I156" i="2" s="1"/>
  <c r="AD155" i="2"/>
  <c r="H156" i="2" s="1"/>
  <c r="AC155" i="2"/>
  <c r="G156" i="2" s="1"/>
  <c r="AB155" i="2"/>
  <c r="F156" i="2" s="1"/>
  <c r="Q156" i="2" l="1"/>
  <c r="R156" i="2" s="1"/>
  <c r="O156" i="2"/>
  <c r="P156" i="2" s="1"/>
  <c r="S156" i="2" s="1"/>
  <c r="T156" i="2" s="1"/>
  <c r="V156" i="2" l="1"/>
  <c r="U156" i="2"/>
  <c r="X156" i="2" s="1"/>
  <c r="Y156" i="2" l="1"/>
  <c r="W156" i="2"/>
  <c r="Z156" i="2" l="1"/>
  <c r="AA156" i="2"/>
  <c r="AI156" i="2"/>
  <c r="M157" i="2" s="1"/>
  <c r="AJ156" i="2"/>
  <c r="N157" i="2" s="1"/>
  <c r="AH156" i="2"/>
  <c r="L157" i="2" s="1"/>
  <c r="AE156" i="2" l="1"/>
  <c r="I157" i="2" s="1"/>
  <c r="AF156" i="2"/>
  <c r="J157" i="2" s="1"/>
  <c r="AG156" i="2"/>
  <c r="K157" i="2" s="1"/>
  <c r="AD156" i="2"/>
  <c r="H157" i="2" s="1"/>
  <c r="AB156" i="2"/>
  <c r="F157" i="2" s="1"/>
  <c r="AC156" i="2"/>
  <c r="G157" i="2" s="1"/>
  <c r="Q157" i="2" l="1"/>
  <c r="R157" i="2" s="1"/>
  <c r="O157" i="2"/>
  <c r="P157" i="2" s="1"/>
  <c r="S157" i="2" s="1"/>
  <c r="T157" i="2" s="1"/>
  <c r="V157" i="2" l="1"/>
  <c r="U157" i="2"/>
  <c r="X157" i="2" s="1"/>
  <c r="Y157" i="2" l="1"/>
  <c r="W157" i="2"/>
  <c r="Z157" i="2" l="1"/>
  <c r="AA157" i="2"/>
  <c r="AJ157" i="2"/>
  <c r="N158" i="2" s="1"/>
  <c r="AH157" i="2"/>
  <c r="L158" i="2" s="1"/>
  <c r="AI157" i="2"/>
  <c r="M158" i="2" s="1"/>
  <c r="AF157" i="2" l="1"/>
  <c r="J158" i="2" s="1"/>
  <c r="AE157" i="2"/>
  <c r="I158" i="2" s="1"/>
  <c r="AG157" i="2"/>
  <c r="K158" i="2" s="1"/>
  <c r="AD157" i="2"/>
  <c r="H158" i="2" s="1"/>
  <c r="AB157" i="2"/>
  <c r="F158" i="2" s="1"/>
  <c r="AC157" i="2"/>
  <c r="G158" i="2" s="1"/>
  <c r="Q158" i="2" l="1"/>
  <c r="R158" i="2" s="1"/>
  <c r="O158" i="2"/>
  <c r="P158" i="2" s="1"/>
  <c r="S158" i="2" s="1"/>
  <c r="T158" i="2" s="1"/>
  <c r="V158" i="2" l="1"/>
  <c r="U158" i="2"/>
  <c r="X158" i="2" s="1"/>
  <c r="Y158" i="2" l="1"/>
  <c r="W158" i="2"/>
  <c r="AA158" i="2" l="1"/>
  <c r="Z158" i="2"/>
  <c r="AJ158" i="2"/>
  <c r="N159" i="2" s="1"/>
  <c r="AH158" i="2"/>
  <c r="L159" i="2" s="1"/>
  <c r="AI158" i="2"/>
  <c r="M159" i="2" s="1"/>
  <c r="AC158" i="2" l="1"/>
  <c r="G159" i="2" s="1"/>
  <c r="AD158" i="2"/>
  <c r="H159" i="2" s="1"/>
  <c r="AB158" i="2"/>
  <c r="F159" i="2" s="1"/>
  <c r="AG158" i="2"/>
  <c r="K159" i="2" s="1"/>
  <c r="AF158" i="2"/>
  <c r="J159" i="2" s="1"/>
  <c r="AE158" i="2"/>
  <c r="I159" i="2" s="1"/>
  <c r="O159" i="2" l="1"/>
  <c r="P159" i="2" s="1"/>
  <c r="Q159" i="2"/>
  <c r="R159" i="2" s="1"/>
  <c r="S159" i="2" l="1"/>
  <c r="T159" i="2" s="1"/>
  <c r="V159" i="2" l="1"/>
  <c r="U159" i="2"/>
  <c r="X159" i="2" s="1"/>
  <c r="Y159" i="2" l="1"/>
  <c r="W159" i="2"/>
  <c r="AA159" i="2" l="1"/>
  <c r="Z159" i="2"/>
  <c r="AJ159" i="2"/>
  <c r="N160" i="2" s="1"/>
  <c r="AI159" i="2"/>
  <c r="M160" i="2" s="1"/>
  <c r="AH159" i="2"/>
  <c r="L160" i="2" s="1"/>
  <c r="AD159" i="2" l="1"/>
  <c r="H160" i="2" s="1"/>
  <c r="AB159" i="2"/>
  <c r="F160" i="2" s="1"/>
  <c r="AC159" i="2"/>
  <c r="G160" i="2" s="1"/>
  <c r="AG159" i="2"/>
  <c r="K160" i="2" s="1"/>
  <c r="AE159" i="2"/>
  <c r="I160" i="2" s="1"/>
  <c r="AF159" i="2"/>
  <c r="J160" i="2" s="1"/>
  <c r="O160" i="2" l="1"/>
  <c r="P160" i="2" s="1"/>
  <c r="Q160" i="2"/>
  <c r="R160" i="2" s="1"/>
  <c r="S160" i="2" l="1"/>
  <c r="T160" i="2" s="1"/>
  <c r="V160" i="2" l="1"/>
  <c r="U160" i="2"/>
  <c r="X160" i="2" s="1"/>
  <c r="Y160" i="2" l="1"/>
  <c r="W160" i="2"/>
  <c r="AA160" i="2" l="1"/>
  <c r="Z160" i="2"/>
  <c r="AI160" i="2"/>
  <c r="M161" i="2" s="1"/>
  <c r="AJ160" i="2"/>
  <c r="N161" i="2" s="1"/>
  <c r="AH160" i="2"/>
  <c r="L161" i="2" s="1"/>
  <c r="AD160" i="2" l="1"/>
  <c r="H161" i="2" s="1"/>
  <c r="AC160" i="2"/>
  <c r="G161" i="2" s="1"/>
  <c r="AB160" i="2"/>
  <c r="F161" i="2" s="1"/>
  <c r="AG160" i="2"/>
  <c r="K161" i="2" s="1"/>
  <c r="AE160" i="2"/>
  <c r="I161" i="2" s="1"/>
  <c r="AF160" i="2"/>
  <c r="J161" i="2" s="1"/>
  <c r="O161" i="2" l="1"/>
  <c r="P161" i="2" s="1"/>
  <c r="Q161" i="2"/>
  <c r="R161" i="2" s="1"/>
  <c r="S161" i="2" l="1"/>
  <c r="T161" i="2" s="1"/>
  <c r="V161" i="2" l="1"/>
  <c r="U161" i="2"/>
  <c r="X161" i="2" s="1"/>
  <c r="Y161" i="2" l="1"/>
  <c r="W161" i="2"/>
  <c r="AA161" i="2" l="1"/>
  <c r="Z161" i="2"/>
  <c r="AH161" i="2"/>
  <c r="L162" i="2" s="1"/>
  <c r="AJ161" i="2"/>
  <c r="N162" i="2" s="1"/>
  <c r="AI161" i="2"/>
  <c r="M162" i="2" s="1"/>
  <c r="AC161" i="2" l="1"/>
  <c r="G162" i="2" s="1"/>
  <c r="AD161" i="2"/>
  <c r="H162" i="2" s="1"/>
  <c r="AB161" i="2"/>
  <c r="F162" i="2" s="1"/>
  <c r="AE161" i="2"/>
  <c r="I162" i="2" s="1"/>
  <c r="AF161" i="2"/>
  <c r="J162" i="2" s="1"/>
  <c r="AG161" i="2"/>
  <c r="K162" i="2" s="1"/>
  <c r="O162" i="2" l="1"/>
  <c r="P162" i="2" s="1"/>
  <c r="Q162" i="2"/>
  <c r="R162" i="2" s="1"/>
  <c r="S162" i="2" l="1"/>
  <c r="T162" i="2" s="1"/>
  <c r="V162" i="2" l="1"/>
  <c r="U162" i="2"/>
  <c r="X162" i="2" s="1"/>
  <c r="W162" i="2" l="1"/>
  <c r="Y162" i="2"/>
  <c r="AA162" i="2" l="1"/>
  <c r="Z162" i="2"/>
  <c r="AI162" i="2"/>
  <c r="M163" i="2" s="1"/>
  <c r="AJ162" i="2"/>
  <c r="N163" i="2" s="1"/>
  <c r="AH162" i="2"/>
  <c r="L163" i="2" s="1"/>
  <c r="AD162" i="2" l="1"/>
  <c r="H163" i="2" s="1"/>
  <c r="AB162" i="2"/>
  <c r="F163" i="2" s="1"/>
  <c r="AC162" i="2"/>
  <c r="G163" i="2" s="1"/>
  <c r="AG162" i="2"/>
  <c r="K163" i="2" s="1"/>
  <c r="AE162" i="2"/>
  <c r="I163" i="2" s="1"/>
  <c r="AF162" i="2"/>
  <c r="J163" i="2" s="1"/>
  <c r="O163" i="2" l="1"/>
  <c r="P163" i="2" s="1"/>
  <c r="Q163" i="2"/>
  <c r="R163" i="2" s="1"/>
  <c r="S163" i="2" l="1"/>
  <c r="T163" i="2" s="1"/>
  <c r="V163" i="2" l="1"/>
  <c r="U163" i="2"/>
  <c r="X163" i="2" s="1"/>
  <c r="Y163" i="2" l="1"/>
  <c r="W163" i="2"/>
  <c r="AA163" i="2" l="1"/>
  <c r="Z163" i="2"/>
  <c r="AI163" i="2"/>
  <c r="M164" i="2" s="1"/>
  <c r="AH163" i="2"/>
  <c r="L164" i="2" s="1"/>
  <c r="AJ163" i="2"/>
  <c r="N164" i="2" s="1"/>
  <c r="AD163" i="2" l="1"/>
  <c r="H164" i="2" s="1"/>
  <c r="AB163" i="2"/>
  <c r="F164" i="2" s="1"/>
  <c r="AC163" i="2"/>
  <c r="G164" i="2" s="1"/>
  <c r="AG163" i="2"/>
  <c r="K164" i="2" s="1"/>
  <c r="AF163" i="2"/>
  <c r="J164" i="2" s="1"/>
  <c r="AE163" i="2"/>
  <c r="I164" i="2" s="1"/>
  <c r="Q164" i="2" l="1"/>
  <c r="R164" i="2" s="1"/>
  <c r="O164" i="2"/>
  <c r="P164" i="2" s="1"/>
  <c r="S164" i="2" s="1"/>
  <c r="T164" i="2" s="1"/>
  <c r="V164" i="2" l="1"/>
  <c r="U164" i="2"/>
  <c r="X164" i="2" s="1"/>
  <c r="Y164" i="2" l="1"/>
  <c r="W164" i="2"/>
  <c r="AA164" i="2" l="1"/>
  <c r="Z164" i="2"/>
  <c r="AJ164" i="2"/>
  <c r="N165" i="2" s="1"/>
  <c r="AH164" i="2"/>
  <c r="L165" i="2" s="1"/>
  <c r="AI164" i="2"/>
  <c r="M165" i="2" s="1"/>
  <c r="AC164" i="2" l="1"/>
  <c r="G165" i="2" s="1"/>
  <c r="AD164" i="2"/>
  <c r="H165" i="2" s="1"/>
  <c r="AB164" i="2"/>
  <c r="F165" i="2" s="1"/>
  <c r="AG164" i="2"/>
  <c r="K165" i="2" s="1"/>
  <c r="AE164" i="2"/>
  <c r="I165" i="2" s="1"/>
  <c r="AF164" i="2"/>
  <c r="J165" i="2" s="1"/>
  <c r="O165" i="2" l="1"/>
  <c r="P165" i="2" s="1"/>
  <c r="Q165" i="2"/>
  <c r="R165" i="2" s="1"/>
  <c r="S165" i="2" l="1"/>
  <c r="T165" i="2" s="1"/>
  <c r="V165" i="2" l="1"/>
  <c r="U165" i="2"/>
  <c r="X165" i="2" s="1"/>
  <c r="Y165" i="2" l="1"/>
  <c r="W165" i="2"/>
  <c r="AA165" i="2" l="1"/>
  <c r="Z165" i="2"/>
  <c r="AI165" i="2"/>
  <c r="M166" i="2" s="1"/>
  <c r="AJ165" i="2"/>
  <c r="N166" i="2" s="1"/>
  <c r="AH165" i="2"/>
  <c r="L166" i="2" s="1"/>
  <c r="AD165" i="2" l="1"/>
  <c r="H166" i="2" s="1"/>
  <c r="AB165" i="2"/>
  <c r="F166" i="2" s="1"/>
  <c r="AC165" i="2"/>
  <c r="G166" i="2" s="1"/>
  <c r="AG165" i="2"/>
  <c r="K166" i="2" s="1"/>
  <c r="AF165" i="2"/>
  <c r="J166" i="2" s="1"/>
  <c r="AE165" i="2"/>
  <c r="I166" i="2" s="1"/>
  <c r="O166" i="2" l="1"/>
  <c r="P166" i="2" s="1"/>
  <c r="Q166" i="2"/>
  <c r="R166" i="2" s="1"/>
  <c r="S166" i="2" l="1"/>
  <c r="T166" i="2" s="1"/>
  <c r="V166" i="2" s="1"/>
  <c r="U166" i="2" l="1"/>
  <c r="X166" i="2" s="1"/>
  <c r="Y166" i="2"/>
  <c r="W166" i="2"/>
  <c r="AA166" i="2" l="1"/>
  <c r="Z166" i="2"/>
  <c r="AI166" i="2"/>
  <c r="M167" i="2" s="1"/>
  <c r="AH166" i="2"/>
  <c r="L167" i="2" s="1"/>
  <c r="AJ166" i="2"/>
  <c r="N167" i="2" s="1"/>
  <c r="AC166" i="2" l="1"/>
  <c r="G167" i="2" s="1"/>
  <c r="AB166" i="2"/>
  <c r="F167" i="2" s="1"/>
  <c r="AD166" i="2"/>
  <c r="H167" i="2" s="1"/>
  <c r="AG166" i="2"/>
  <c r="K167" i="2" s="1"/>
  <c r="AE166" i="2"/>
  <c r="I167" i="2" s="1"/>
  <c r="AF166" i="2"/>
  <c r="J167" i="2" s="1"/>
  <c r="O167" i="2" l="1"/>
  <c r="P167" i="2" s="1"/>
  <c r="Q167" i="2"/>
  <c r="R167" i="2" s="1"/>
  <c r="S167" i="2" l="1"/>
  <c r="T167" i="2" s="1"/>
  <c r="V167" i="2" l="1"/>
  <c r="U167" i="2"/>
  <c r="X167" i="2" s="1"/>
  <c r="Y167" i="2" l="1"/>
  <c r="W167" i="2"/>
  <c r="Z167" i="2" l="1"/>
  <c r="AA167" i="2"/>
  <c r="AI167" i="2"/>
  <c r="M168" i="2" s="1"/>
  <c r="AH167" i="2"/>
  <c r="L168" i="2" s="1"/>
  <c r="AJ167" i="2"/>
  <c r="N168" i="2" s="1"/>
  <c r="AG167" i="2" l="1"/>
  <c r="K168" i="2" s="1"/>
  <c r="AF167" i="2"/>
  <c r="J168" i="2" s="1"/>
  <c r="AE167" i="2"/>
  <c r="I168" i="2" s="1"/>
  <c r="AD167" i="2"/>
  <c r="H168" i="2" s="1"/>
  <c r="AB167" i="2"/>
  <c r="F168" i="2" s="1"/>
  <c r="AC167" i="2"/>
  <c r="G168" i="2" s="1"/>
  <c r="Q168" i="2" l="1"/>
  <c r="R168" i="2" s="1"/>
  <c r="O168" i="2"/>
  <c r="P168" i="2" s="1"/>
  <c r="S168" i="2" l="1"/>
  <c r="T168" i="2" s="1"/>
  <c r="V168" i="2" s="1"/>
  <c r="U168" i="2" l="1"/>
  <c r="X168" i="2" s="1"/>
  <c r="Y168" i="2"/>
  <c r="W168" i="2"/>
  <c r="Z168" i="2" l="1"/>
  <c r="AA168" i="2"/>
  <c r="AJ168" i="2"/>
  <c r="N169" i="2" s="1"/>
  <c r="AH168" i="2"/>
  <c r="L169" i="2" s="1"/>
  <c r="AI168" i="2"/>
  <c r="M169" i="2" s="1"/>
  <c r="AE168" i="2" l="1"/>
  <c r="I169" i="2" s="1"/>
  <c r="AF168" i="2"/>
  <c r="J169" i="2" s="1"/>
  <c r="AG168" i="2"/>
  <c r="K169" i="2" s="1"/>
  <c r="AD168" i="2"/>
  <c r="H169" i="2" s="1"/>
  <c r="AC168" i="2"/>
  <c r="G169" i="2" s="1"/>
  <c r="AB168" i="2"/>
  <c r="F169" i="2" s="1"/>
  <c r="Q169" i="2" l="1"/>
  <c r="R169" i="2" s="1"/>
  <c r="O169" i="2"/>
  <c r="P169" i="2" s="1"/>
  <c r="S169" i="2" l="1"/>
  <c r="T169" i="2" s="1"/>
  <c r="V169" i="2"/>
  <c r="U169" i="2"/>
  <c r="X169" i="2" s="1"/>
  <c r="Y169" i="2" l="1"/>
  <c r="W169" i="2"/>
  <c r="Z169" i="2" l="1"/>
  <c r="AA169" i="2"/>
  <c r="AI169" i="2"/>
  <c r="M170" i="2" s="1"/>
  <c r="AJ169" i="2"/>
  <c r="N170" i="2" s="1"/>
  <c r="AH169" i="2"/>
  <c r="L170" i="2" s="1"/>
  <c r="AG169" i="2" l="1"/>
  <c r="K170" i="2" s="1"/>
  <c r="AF169" i="2"/>
  <c r="J170" i="2" s="1"/>
  <c r="AE169" i="2"/>
  <c r="I170" i="2" s="1"/>
  <c r="AD169" i="2"/>
  <c r="H170" i="2" s="1"/>
  <c r="AB169" i="2"/>
  <c r="F170" i="2" s="1"/>
  <c r="AC169" i="2"/>
  <c r="G170" i="2" s="1"/>
  <c r="Q170" i="2" l="1"/>
  <c r="R170" i="2" s="1"/>
  <c r="O170" i="2"/>
  <c r="P170" i="2" s="1"/>
  <c r="S170" i="2" l="1"/>
  <c r="T170" i="2" s="1"/>
  <c r="V170" i="2" s="1"/>
  <c r="U170" i="2" l="1"/>
  <c r="X170" i="2" s="1"/>
  <c r="Y170" i="2"/>
  <c r="W170" i="2"/>
  <c r="AA170" i="2" l="1"/>
  <c r="Z170" i="2"/>
  <c r="AH170" i="2"/>
  <c r="L171" i="2" s="1"/>
  <c r="AI170" i="2"/>
  <c r="M171" i="2" s="1"/>
  <c r="AJ170" i="2"/>
  <c r="N171" i="2" s="1"/>
  <c r="AD170" i="2" l="1"/>
  <c r="H171" i="2" s="1"/>
  <c r="AC170" i="2"/>
  <c r="G171" i="2" s="1"/>
  <c r="AB170" i="2"/>
  <c r="F171" i="2" s="1"/>
  <c r="AG170" i="2"/>
  <c r="K171" i="2" s="1"/>
  <c r="AF170" i="2"/>
  <c r="J171" i="2" s="1"/>
  <c r="AE170" i="2"/>
  <c r="I171" i="2" s="1"/>
  <c r="O171" i="2" l="1"/>
  <c r="P171" i="2" s="1"/>
  <c r="Q171" i="2"/>
  <c r="R171" i="2" s="1"/>
  <c r="S171" i="2" l="1"/>
  <c r="T171" i="2" s="1"/>
  <c r="V171" i="2" l="1"/>
  <c r="U171" i="2"/>
  <c r="X171" i="2" s="1"/>
  <c r="Y171" i="2" l="1"/>
  <c r="W171" i="2"/>
  <c r="AA171" i="2" l="1"/>
  <c r="Z171" i="2"/>
  <c r="AJ171" i="2"/>
  <c r="N172" i="2" s="1"/>
  <c r="AI171" i="2"/>
  <c r="M172" i="2" s="1"/>
  <c r="AH171" i="2"/>
  <c r="L172" i="2" s="1"/>
  <c r="AC171" i="2" l="1"/>
  <c r="G172" i="2" s="1"/>
  <c r="AB171" i="2"/>
  <c r="F172" i="2" s="1"/>
  <c r="AD171" i="2"/>
  <c r="H172" i="2" s="1"/>
  <c r="AG171" i="2"/>
  <c r="K172" i="2" s="1"/>
  <c r="AE171" i="2"/>
  <c r="I172" i="2" s="1"/>
  <c r="AF171" i="2"/>
  <c r="J172" i="2" s="1"/>
  <c r="Q172" i="2" l="1"/>
  <c r="R172" i="2" s="1"/>
  <c r="O172" i="2"/>
  <c r="P172" i="2" s="1"/>
  <c r="S172" i="2" l="1"/>
  <c r="T172" i="2" s="1"/>
  <c r="V172" i="2" s="1"/>
  <c r="U172" i="2" l="1"/>
  <c r="X172" i="2" s="1"/>
  <c r="Y172" i="2"/>
  <c r="W172" i="2"/>
  <c r="AA172" i="2" l="1"/>
  <c r="Z172" i="2"/>
  <c r="AH172" i="2"/>
  <c r="L173" i="2" s="1"/>
  <c r="AI172" i="2"/>
  <c r="M173" i="2" s="1"/>
  <c r="AJ172" i="2"/>
  <c r="N173" i="2" s="1"/>
  <c r="AB172" i="2" l="1"/>
  <c r="F173" i="2" s="1"/>
  <c r="AC172" i="2"/>
  <c r="G173" i="2" s="1"/>
  <c r="AD172" i="2"/>
  <c r="H173" i="2" s="1"/>
  <c r="AG172" i="2"/>
  <c r="K173" i="2" s="1"/>
  <c r="AF172" i="2"/>
  <c r="J173" i="2" s="1"/>
  <c r="AE172" i="2"/>
  <c r="I173" i="2" s="1"/>
  <c r="O173" i="2" l="1"/>
  <c r="P173" i="2" s="1"/>
  <c r="Q173" i="2"/>
  <c r="R173" i="2" s="1"/>
  <c r="S173" i="2" l="1"/>
  <c r="T173" i="2" s="1"/>
  <c r="V173" i="2" l="1"/>
  <c r="U173" i="2"/>
  <c r="X173" i="2" s="1"/>
  <c r="W173" i="2" l="1"/>
  <c r="Y173" i="2"/>
  <c r="AA173" i="2" l="1"/>
  <c r="Z173" i="2"/>
  <c r="AI173" i="2"/>
  <c r="M174" i="2" s="1"/>
  <c r="AH173" i="2"/>
  <c r="L174" i="2" s="1"/>
  <c r="AJ173" i="2"/>
  <c r="N174" i="2" s="1"/>
  <c r="AC173" i="2" l="1"/>
  <c r="G174" i="2" s="1"/>
  <c r="AB173" i="2"/>
  <c r="F174" i="2" s="1"/>
  <c r="AD173" i="2"/>
  <c r="H174" i="2" s="1"/>
  <c r="AG173" i="2"/>
  <c r="K174" i="2" s="1"/>
  <c r="AF173" i="2"/>
  <c r="J174" i="2" s="1"/>
  <c r="AE173" i="2"/>
  <c r="I174" i="2" s="1"/>
  <c r="O174" i="2" l="1"/>
  <c r="P174" i="2" s="1"/>
  <c r="Q174" i="2"/>
  <c r="R174" i="2" s="1"/>
  <c r="S174" i="2" l="1"/>
  <c r="T174" i="2" s="1"/>
  <c r="V174" i="2" l="1"/>
  <c r="U174" i="2"/>
  <c r="X174" i="2" s="1"/>
  <c r="Y174" i="2" l="1"/>
  <c r="W174" i="2"/>
  <c r="Z174" i="2" l="1"/>
  <c r="AA174" i="2"/>
  <c r="AJ174" i="2"/>
  <c r="N175" i="2" s="1"/>
  <c r="AH174" i="2"/>
  <c r="L175" i="2" s="1"/>
  <c r="AI174" i="2"/>
  <c r="M175" i="2" s="1"/>
  <c r="AG174" i="2" l="1"/>
  <c r="K175" i="2" s="1"/>
  <c r="AE174" i="2"/>
  <c r="I175" i="2" s="1"/>
  <c r="AF174" i="2"/>
  <c r="J175" i="2" s="1"/>
  <c r="AC174" i="2"/>
  <c r="G175" i="2" s="1"/>
  <c r="AD174" i="2"/>
  <c r="H175" i="2" s="1"/>
  <c r="AB174" i="2"/>
  <c r="F175" i="2" s="1"/>
  <c r="Q175" i="2" l="1"/>
  <c r="R175" i="2" s="1"/>
  <c r="O175" i="2"/>
  <c r="P175" i="2" s="1"/>
  <c r="S175" i="2" s="1"/>
  <c r="T175" i="2" s="1"/>
  <c r="V175" i="2" l="1"/>
  <c r="U175" i="2"/>
  <c r="X175" i="2" s="1"/>
  <c r="Y175" i="2" l="1"/>
  <c r="W175" i="2"/>
  <c r="Z175" i="2" l="1"/>
  <c r="AA175" i="2"/>
  <c r="AH175" i="2"/>
  <c r="L176" i="2" s="1"/>
  <c r="AJ175" i="2"/>
  <c r="N176" i="2" s="1"/>
  <c r="AI175" i="2"/>
  <c r="M176" i="2" s="1"/>
  <c r="AG175" i="2" l="1"/>
  <c r="K176" i="2" s="1"/>
  <c r="AE175" i="2"/>
  <c r="I176" i="2" s="1"/>
  <c r="AF175" i="2"/>
  <c r="J176" i="2" s="1"/>
  <c r="AC175" i="2"/>
  <c r="G176" i="2" s="1"/>
  <c r="AD175" i="2"/>
  <c r="H176" i="2" s="1"/>
  <c r="AB175" i="2"/>
  <c r="F176" i="2" s="1"/>
  <c r="Q176" i="2" l="1"/>
  <c r="R176" i="2" s="1"/>
  <c r="O176" i="2"/>
  <c r="P176" i="2" s="1"/>
  <c r="S176" i="2" s="1"/>
  <c r="T176" i="2" s="1"/>
  <c r="V176" i="2" l="1"/>
  <c r="U176" i="2"/>
  <c r="X176" i="2" s="1"/>
  <c r="Y176" i="2" l="1"/>
  <c r="W176" i="2"/>
  <c r="AA176" i="2" l="1"/>
  <c r="Z176" i="2"/>
  <c r="AJ176" i="2"/>
  <c r="N177" i="2" s="1"/>
  <c r="AH176" i="2"/>
  <c r="L177" i="2" s="1"/>
  <c r="AI176" i="2"/>
  <c r="M177" i="2" s="1"/>
  <c r="AC176" i="2" l="1"/>
  <c r="G177" i="2" s="1"/>
  <c r="AB176" i="2"/>
  <c r="F177" i="2" s="1"/>
  <c r="AD176" i="2"/>
  <c r="H177" i="2" s="1"/>
  <c r="AG176" i="2"/>
  <c r="K177" i="2" s="1"/>
  <c r="AE176" i="2"/>
  <c r="I177" i="2" s="1"/>
  <c r="AF176" i="2"/>
  <c r="J177" i="2" s="1"/>
  <c r="O177" i="2" l="1"/>
  <c r="P177" i="2" s="1"/>
  <c r="Q177" i="2"/>
  <c r="R177" i="2" s="1"/>
  <c r="S177" i="2" l="1"/>
  <c r="T177" i="2" s="1"/>
  <c r="V177" i="2" l="1"/>
  <c r="U177" i="2"/>
  <c r="X177" i="2" s="1"/>
  <c r="W177" i="2" l="1"/>
  <c r="Y177" i="2"/>
  <c r="AA177" i="2" l="1"/>
  <c r="Z177" i="2"/>
  <c r="AI177" i="2"/>
  <c r="M178" i="2" s="1"/>
  <c r="AH177" i="2"/>
  <c r="L178" i="2" s="1"/>
  <c r="AJ177" i="2"/>
  <c r="N178" i="2" s="1"/>
  <c r="AD177" i="2" l="1"/>
  <c r="H178" i="2" s="1"/>
  <c r="AB177" i="2"/>
  <c r="F178" i="2" s="1"/>
  <c r="AC177" i="2"/>
  <c r="G178" i="2" s="1"/>
  <c r="AG177" i="2"/>
  <c r="K178" i="2" s="1"/>
  <c r="AF177" i="2"/>
  <c r="J178" i="2" s="1"/>
  <c r="AE177" i="2"/>
  <c r="I178" i="2" s="1"/>
  <c r="O178" i="2" l="1"/>
  <c r="P178" i="2" s="1"/>
  <c r="Q178" i="2"/>
  <c r="R178" i="2" s="1"/>
  <c r="S178" i="2" l="1"/>
  <c r="T178" i="2" s="1"/>
  <c r="V178" i="2" l="1"/>
  <c r="U178" i="2"/>
  <c r="X178" i="2" s="1"/>
  <c r="Y178" i="2" l="1"/>
  <c r="W178" i="2"/>
  <c r="AA178" i="2" l="1"/>
  <c r="Z178" i="2"/>
  <c r="AJ178" i="2"/>
  <c r="N179" i="2" s="1"/>
  <c r="AI178" i="2"/>
  <c r="M179" i="2" s="1"/>
  <c r="AH178" i="2"/>
  <c r="L179" i="2" s="1"/>
  <c r="AB178" i="2" l="1"/>
  <c r="F179" i="2" s="1"/>
  <c r="AD178" i="2"/>
  <c r="H179" i="2" s="1"/>
  <c r="AC178" i="2"/>
  <c r="G179" i="2" s="1"/>
  <c r="AG178" i="2"/>
  <c r="K179" i="2" s="1"/>
  <c r="AE178" i="2"/>
  <c r="I179" i="2" s="1"/>
  <c r="AF178" i="2"/>
  <c r="J179" i="2" s="1"/>
  <c r="Q179" i="2" l="1"/>
  <c r="R179" i="2" s="1"/>
  <c r="O179" i="2"/>
  <c r="P179" i="2" s="1"/>
  <c r="S179" i="2" s="1"/>
  <c r="T179" i="2" s="1"/>
  <c r="V179" i="2" l="1"/>
  <c r="U179" i="2"/>
  <c r="X179" i="2" s="1"/>
  <c r="Y179" i="2" l="1"/>
  <c r="W179" i="2"/>
  <c r="AA179" i="2" l="1"/>
  <c r="Z179" i="2"/>
  <c r="AJ179" i="2"/>
  <c r="N180" i="2" s="1"/>
  <c r="AI179" i="2"/>
  <c r="M180" i="2" s="1"/>
  <c r="AH179" i="2"/>
  <c r="L180" i="2" s="1"/>
  <c r="AC179" i="2" l="1"/>
  <c r="G180" i="2" s="1"/>
  <c r="AB179" i="2"/>
  <c r="F180" i="2" s="1"/>
  <c r="AD179" i="2"/>
  <c r="H180" i="2" s="1"/>
  <c r="AE179" i="2"/>
  <c r="I180" i="2" s="1"/>
  <c r="AG179" i="2"/>
  <c r="K180" i="2" s="1"/>
  <c r="AF179" i="2"/>
  <c r="J180" i="2" s="1"/>
  <c r="Q180" i="2" l="1"/>
  <c r="R180" i="2" s="1"/>
  <c r="O180" i="2"/>
  <c r="P180" i="2" s="1"/>
  <c r="S180" i="2" l="1"/>
  <c r="T180" i="2" s="1"/>
  <c r="V180" i="2" s="1"/>
  <c r="U180" i="2"/>
  <c r="X180" i="2" s="1"/>
  <c r="Y180" i="2" l="1"/>
  <c r="W180" i="2"/>
  <c r="Z180" i="2" l="1"/>
  <c r="AA180" i="2"/>
  <c r="AH180" i="2"/>
  <c r="L181" i="2" s="1"/>
  <c r="AJ180" i="2"/>
  <c r="N181" i="2" s="1"/>
  <c r="AI180" i="2"/>
  <c r="M181" i="2" s="1"/>
  <c r="AE180" i="2" l="1"/>
  <c r="I181" i="2" s="1"/>
  <c r="AF180" i="2"/>
  <c r="J181" i="2" s="1"/>
  <c r="AG180" i="2"/>
  <c r="K181" i="2" s="1"/>
  <c r="AD180" i="2"/>
  <c r="H181" i="2" s="1"/>
  <c r="AC180" i="2"/>
  <c r="G181" i="2" s="1"/>
  <c r="AB180" i="2"/>
  <c r="F181" i="2" s="1"/>
  <c r="Q181" i="2" l="1"/>
  <c r="R181" i="2" s="1"/>
  <c r="O181" i="2"/>
  <c r="P181" i="2" s="1"/>
  <c r="S181" i="2" s="1"/>
  <c r="T181" i="2" s="1"/>
  <c r="V181" i="2" l="1"/>
  <c r="U181" i="2"/>
  <c r="X181" i="2" s="1"/>
  <c r="W181" i="2" l="1"/>
  <c r="Y181" i="2"/>
  <c r="Z181" i="2" l="1"/>
  <c r="AA181" i="2"/>
  <c r="AI181" i="2"/>
  <c r="M182" i="2" s="1"/>
  <c r="AH181" i="2"/>
  <c r="L182" i="2" s="1"/>
  <c r="AJ181" i="2"/>
  <c r="N182" i="2" s="1"/>
  <c r="AG181" i="2" l="1"/>
  <c r="K182" i="2" s="1"/>
  <c r="AF181" i="2"/>
  <c r="J182" i="2" s="1"/>
  <c r="AE181" i="2"/>
  <c r="I182" i="2" s="1"/>
  <c r="AD181" i="2"/>
  <c r="H182" i="2" s="1"/>
  <c r="AC181" i="2"/>
  <c r="G182" i="2" s="1"/>
  <c r="AB181" i="2"/>
  <c r="F182" i="2" s="1"/>
  <c r="Q182" i="2" l="1"/>
  <c r="R182" i="2" s="1"/>
  <c r="O182" i="2"/>
  <c r="P182" i="2" s="1"/>
  <c r="S182" i="2" s="1"/>
  <c r="T182" i="2" s="1"/>
  <c r="V182" i="2" l="1"/>
  <c r="U182" i="2"/>
  <c r="X182" i="2" s="1"/>
  <c r="W182" i="2" l="1"/>
  <c r="Y182" i="2"/>
  <c r="AA182" i="2" l="1"/>
  <c r="Z182" i="2"/>
  <c r="AI182" i="2"/>
  <c r="M183" i="2" s="1"/>
  <c r="AH182" i="2"/>
  <c r="L183" i="2" s="1"/>
  <c r="AJ182" i="2"/>
  <c r="N183" i="2" s="1"/>
  <c r="AB182" i="2" l="1"/>
  <c r="F183" i="2" s="1"/>
  <c r="AD182" i="2"/>
  <c r="H183" i="2" s="1"/>
  <c r="AC182" i="2"/>
  <c r="G183" i="2" s="1"/>
  <c r="AE182" i="2"/>
  <c r="I183" i="2" s="1"/>
  <c r="AG182" i="2"/>
  <c r="K183" i="2" s="1"/>
  <c r="AF182" i="2"/>
  <c r="J183" i="2" s="1"/>
  <c r="Q183" i="2" l="1"/>
  <c r="R183" i="2" s="1"/>
  <c r="O183" i="2"/>
  <c r="P183" i="2" s="1"/>
  <c r="S183" i="2" s="1"/>
  <c r="T183" i="2" s="1"/>
  <c r="V183" i="2" l="1"/>
  <c r="U183" i="2"/>
  <c r="X183" i="2" s="1"/>
  <c r="Y183" i="2" l="1"/>
  <c r="W183" i="2"/>
  <c r="Z183" i="2" l="1"/>
  <c r="AA183" i="2"/>
  <c r="AH183" i="2"/>
  <c r="L184" i="2" s="1"/>
  <c r="AJ183" i="2"/>
  <c r="N184" i="2" s="1"/>
  <c r="AI183" i="2"/>
  <c r="M184" i="2" s="1"/>
  <c r="AF183" i="2" l="1"/>
  <c r="J184" i="2" s="1"/>
  <c r="AE183" i="2"/>
  <c r="I184" i="2" s="1"/>
  <c r="AG183" i="2"/>
  <c r="K184" i="2" s="1"/>
  <c r="AD183" i="2"/>
  <c r="H184" i="2" s="1"/>
  <c r="AC183" i="2"/>
  <c r="G184" i="2" s="1"/>
  <c r="AB183" i="2"/>
  <c r="F184" i="2" s="1"/>
  <c r="O184" i="2" l="1"/>
  <c r="P184" i="2" s="1"/>
  <c r="Q184" i="2"/>
  <c r="R184" i="2" s="1"/>
  <c r="S184" i="2" l="1"/>
  <c r="T184" i="2" s="1"/>
  <c r="V184" i="2" l="1"/>
  <c r="U184" i="2"/>
  <c r="X184" i="2" s="1"/>
  <c r="W184" i="2" l="1"/>
  <c r="Y184" i="2"/>
  <c r="AA184" i="2" l="1"/>
  <c r="Z184" i="2"/>
  <c r="AJ184" i="2"/>
  <c r="N185" i="2" s="1"/>
  <c r="AI184" i="2"/>
  <c r="M185" i="2" s="1"/>
  <c r="AH184" i="2"/>
  <c r="L185" i="2" s="1"/>
  <c r="AD184" i="2" l="1"/>
  <c r="H185" i="2" s="1"/>
  <c r="AB184" i="2"/>
  <c r="F185" i="2" s="1"/>
  <c r="AC184" i="2"/>
  <c r="G185" i="2" s="1"/>
  <c r="AG184" i="2"/>
  <c r="K185" i="2" s="1"/>
  <c r="AF184" i="2"/>
  <c r="J185" i="2" s="1"/>
  <c r="AE184" i="2"/>
  <c r="I185" i="2" s="1"/>
  <c r="O185" i="2" l="1"/>
  <c r="P185" i="2" s="1"/>
  <c r="Q185" i="2"/>
  <c r="R185" i="2" s="1"/>
  <c r="S185" i="2" l="1"/>
  <c r="T185" i="2" s="1"/>
  <c r="V185" i="2" l="1"/>
  <c r="U185" i="2"/>
  <c r="X185" i="2" s="1"/>
  <c r="Y185" i="2" l="1"/>
  <c r="W185" i="2"/>
  <c r="AA185" i="2" l="1"/>
  <c r="Z185" i="2"/>
  <c r="AI185" i="2"/>
  <c r="M186" i="2" s="1"/>
  <c r="AJ185" i="2"/>
  <c r="N186" i="2" s="1"/>
  <c r="AH185" i="2"/>
  <c r="L186" i="2" s="1"/>
  <c r="AC185" i="2" l="1"/>
  <c r="G186" i="2" s="1"/>
  <c r="AB185" i="2"/>
  <c r="F186" i="2" s="1"/>
  <c r="AD185" i="2"/>
  <c r="H186" i="2" s="1"/>
  <c r="AG185" i="2"/>
  <c r="K186" i="2" s="1"/>
  <c r="AF185" i="2"/>
  <c r="J186" i="2" s="1"/>
  <c r="AE185" i="2"/>
  <c r="I186" i="2" s="1"/>
  <c r="O186" i="2" l="1"/>
  <c r="P186" i="2" s="1"/>
  <c r="Q186" i="2"/>
  <c r="R186" i="2" s="1"/>
  <c r="S186" i="2" l="1"/>
  <c r="T186" i="2" s="1"/>
  <c r="V186" i="2" l="1"/>
  <c r="U186" i="2"/>
  <c r="X186" i="2" s="1"/>
  <c r="Y186" i="2" l="1"/>
  <c r="W186" i="2"/>
  <c r="Z186" i="2" l="1"/>
  <c r="AA186" i="2"/>
  <c r="AJ186" i="2"/>
  <c r="N187" i="2" s="1"/>
  <c r="AI186" i="2"/>
  <c r="M187" i="2" s="1"/>
  <c r="AH186" i="2"/>
  <c r="L187" i="2" s="1"/>
  <c r="AG186" i="2" l="1"/>
  <c r="K187" i="2" s="1"/>
  <c r="AE186" i="2"/>
  <c r="I187" i="2" s="1"/>
  <c r="AF186" i="2"/>
  <c r="J187" i="2" s="1"/>
  <c r="AD186" i="2"/>
  <c r="H187" i="2" s="1"/>
  <c r="AB186" i="2"/>
  <c r="F187" i="2" s="1"/>
  <c r="AC186" i="2"/>
  <c r="G187" i="2" s="1"/>
  <c r="O187" i="2" l="1"/>
  <c r="P187" i="2" s="1"/>
  <c r="Q187" i="2"/>
  <c r="R187" i="2" s="1"/>
  <c r="S187" i="2" l="1"/>
  <c r="T187" i="2" s="1"/>
  <c r="V187" i="2" l="1"/>
  <c r="U187" i="2"/>
  <c r="X187" i="2" s="1"/>
  <c r="Y187" i="2" l="1"/>
  <c r="W187" i="2"/>
  <c r="Z187" i="2" l="1"/>
  <c r="AA187" i="2"/>
  <c r="AI187" i="2"/>
  <c r="M188" i="2" s="1"/>
  <c r="AH187" i="2"/>
  <c r="L188" i="2" s="1"/>
  <c r="AJ187" i="2"/>
  <c r="N188" i="2" s="1"/>
  <c r="AF187" i="2" l="1"/>
  <c r="J188" i="2" s="1"/>
  <c r="AE187" i="2"/>
  <c r="I188" i="2" s="1"/>
  <c r="AG187" i="2"/>
  <c r="K188" i="2" s="1"/>
  <c r="AB187" i="2"/>
  <c r="F188" i="2" s="1"/>
  <c r="AD187" i="2"/>
  <c r="H188" i="2" s="1"/>
  <c r="AC187" i="2"/>
  <c r="G188" i="2" s="1"/>
  <c r="O188" i="2" l="1"/>
  <c r="P188" i="2" s="1"/>
  <c r="Q188" i="2"/>
  <c r="R188" i="2" s="1"/>
  <c r="S188" i="2" l="1"/>
  <c r="T188" i="2" s="1"/>
  <c r="V188" i="2" l="1"/>
  <c r="U188" i="2"/>
  <c r="X188" i="2" s="1"/>
  <c r="W188" i="2" l="1"/>
  <c r="Y188" i="2"/>
  <c r="AA188" i="2" l="1"/>
  <c r="Z188" i="2"/>
  <c r="AJ188" i="2"/>
  <c r="N189" i="2" s="1"/>
  <c r="AH188" i="2"/>
  <c r="L189" i="2" s="1"/>
  <c r="AI188" i="2"/>
  <c r="M189" i="2" s="1"/>
  <c r="AB188" i="2" l="1"/>
  <c r="F189" i="2" s="1"/>
  <c r="AD188" i="2"/>
  <c r="H189" i="2" s="1"/>
  <c r="AC188" i="2"/>
  <c r="G189" i="2" s="1"/>
  <c r="AG188" i="2"/>
  <c r="K189" i="2" s="1"/>
  <c r="AE188" i="2"/>
  <c r="I189" i="2" s="1"/>
  <c r="AF188" i="2"/>
  <c r="J189" i="2" s="1"/>
  <c r="O189" i="2" l="1"/>
  <c r="P189" i="2" s="1"/>
  <c r="Q189" i="2"/>
  <c r="R189" i="2" s="1"/>
  <c r="S189" i="2" l="1"/>
  <c r="T189" i="2" s="1"/>
  <c r="V189" i="2" l="1"/>
  <c r="U189" i="2"/>
  <c r="X189" i="2" s="1"/>
  <c r="W189" i="2" l="1"/>
  <c r="Y189" i="2"/>
  <c r="AA189" i="2" l="1"/>
  <c r="Z189" i="2"/>
  <c r="AH189" i="2"/>
  <c r="L190" i="2" s="1"/>
  <c r="AI189" i="2"/>
  <c r="M190" i="2" s="1"/>
  <c r="AJ189" i="2"/>
  <c r="N190" i="2" s="1"/>
  <c r="AD189" i="2" l="1"/>
  <c r="H190" i="2" s="1"/>
  <c r="AC189" i="2"/>
  <c r="G190" i="2" s="1"/>
  <c r="AB189" i="2"/>
  <c r="F190" i="2" s="1"/>
  <c r="AG189" i="2"/>
  <c r="K190" i="2" s="1"/>
  <c r="AF189" i="2"/>
  <c r="J190" i="2" s="1"/>
  <c r="AE189" i="2"/>
  <c r="I190" i="2" s="1"/>
  <c r="O190" i="2" l="1"/>
  <c r="P190" i="2" s="1"/>
  <c r="Q190" i="2"/>
  <c r="R190" i="2" s="1"/>
  <c r="S190" i="2" l="1"/>
  <c r="T190" i="2" s="1"/>
  <c r="V190" i="2" l="1"/>
  <c r="U190" i="2"/>
  <c r="X190" i="2" s="1"/>
  <c r="Y190" i="2" l="1"/>
  <c r="W190" i="2"/>
  <c r="Z190" i="2" l="1"/>
  <c r="AA190" i="2"/>
  <c r="AJ190" i="2"/>
  <c r="N191" i="2" s="1"/>
  <c r="AI190" i="2"/>
  <c r="M191" i="2" s="1"/>
  <c r="AH190" i="2"/>
  <c r="L191" i="2" s="1"/>
  <c r="AG190" i="2" l="1"/>
  <c r="K191" i="2" s="1"/>
  <c r="AE190" i="2"/>
  <c r="I191" i="2" s="1"/>
  <c r="AF190" i="2"/>
  <c r="J191" i="2" s="1"/>
  <c r="AC190" i="2"/>
  <c r="G191" i="2" s="1"/>
  <c r="AD190" i="2"/>
  <c r="H191" i="2" s="1"/>
  <c r="AB190" i="2"/>
  <c r="F191" i="2" s="1"/>
  <c r="Q191" i="2" l="1"/>
  <c r="R191" i="2" s="1"/>
  <c r="O191" i="2"/>
  <c r="P191" i="2" s="1"/>
  <c r="S191" i="2" s="1"/>
  <c r="T191" i="2" s="1"/>
  <c r="V191" i="2" l="1"/>
  <c r="U191" i="2"/>
  <c r="X191" i="2" s="1"/>
  <c r="W191" i="2" l="1"/>
  <c r="Y191" i="2"/>
  <c r="Z191" i="2" l="1"/>
  <c r="AA191" i="2"/>
  <c r="AH191" i="2"/>
  <c r="L192" i="2" s="1"/>
  <c r="AI191" i="2"/>
  <c r="M192" i="2" s="1"/>
  <c r="AJ191" i="2"/>
  <c r="N192" i="2" s="1"/>
  <c r="AF191" i="2" l="1"/>
  <c r="J192" i="2" s="1"/>
  <c r="AE191" i="2"/>
  <c r="I192" i="2" s="1"/>
  <c r="AG191" i="2"/>
  <c r="K192" i="2" s="1"/>
  <c r="AC191" i="2"/>
  <c r="G192" i="2" s="1"/>
  <c r="AB191" i="2"/>
  <c r="F192" i="2" s="1"/>
  <c r="AD191" i="2"/>
  <c r="H192" i="2" s="1"/>
  <c r="Q192" i="2" l="1"/>
  <c r="R192" i="2" s="1"/>
  <c r="O192" i="2"/>
  <c r="P192" i="2" s="1"/>
  <c r="S192" i="2" s="1"/>
  <c r="T192" i="2" s="1"/>
  <c r="V192" i="2" l="1"/>
  <c r="U192" i="2"/>
  <c r="X192" i="2" s="1"/>
  <c r="W192" i="2" l="1"/>
  <c r="Y192" i="2"/>
  <c r="Z192" i="2" l="1"/>
  <c r="AA192" i="2"/>
  <c r="AI192" i="2"/>
  <c r="M193" i="2" s="1"/>
  <c r="AJ192" i="2"/>
  <c r="N193" i="2" s="1"/>
  <c r="AH192" i="2"/>
  <c r="L193" i="2" s="1"/>
  <c r="AG192" i="2" l="1"/>
  <c r="K193" i="2" s="1"/>
  <c r="AF192" i="2"/>
  <c r="J193" i="2" s="1"/>
  <c r="AE192" i="2"/>
  <c r="I193" i="2" s="1"/>
  <c r="AD192" i="2"/>
  <c r="H193" i="2" s="1"/>
  <c r="AC192" i="2"/>
  <c r="G193" i="2" s="1"/>
  <c r="AB192" i="2"/>
  <c r="F193" i="2" s="1"/>
  <c r="Q193" i="2" l="1"/>
  <c r="R193" i="2" s="1"/>
  <c r="O193" i="2"/>
  <c r="P193" i="2" s="1"/>
  <c r="S193" i="2" s="1"/>
  <c r="T193" i="2" s="1"/>
  <c r="V193" i="2" l="1"/>
  <c r="U193" i="2"/>
  <c r="X193" i="2" s="1"/>
  <c r="Y193" i="2" l="1"/>
  <c r="W193" i="2"/>
  <c r="AA193" i="2" l="1"/>
  <c r="Z193" i="2"/>
  <c r="AI193" i="2"/>
  <c r="M194" i="2" s="1"/>
  <c r="AJ193" i="2"/>
  <c r="N194" i="2" s="1"/>
  <c r="AH193" i="2"/>
  <c r="L194" i="2" s="1"/>
  <c r="AD193" i="2" l="1"/>
  <c r="H194" i="2" s="1"/>
  <c r="AB193" i="2"/>
  <c r="F194" i="2" s="1"/>
  <c r="AC193" i="2"/>
  <c r="G194" i="2" s="1"/>
  <c r="AF193" i="2"/>
  <c r="J194" i="2" s="1"/>
  <c r="AG193" i="2"/>
  <c r="K194" i="2" s="1"/>
  <c r="AE193" i="2"/>
  <c r="I194" i="2" s="1"/>
  <c r="O194" i="2" l="1"/>
  <c r="P194" i="2" s="1"/>
  <c r="Q194" i="2"/>
  <c r="R194" i="2" s="1"/>
  <c r="S194" i="2" l="1"/>
  <c r="T194" i="2" s="1"/>
  <c r="V194" i="2" l="1"/>
  <c r="U194" i="2"/>
  <c r="X194" i="2" s="1"/>
  <c r="Y194" i="2" l="1"/>
  <c r="W194" i="2"/>
  <c r="Z194" i="2" l="1"/>
  <c r="AA194" i="2"/>
  <c r="AJ194" i="2"/>
  <c r="N195" i="2" s="1"/>
  <c r="AH194" i="2"/>
  <c r="L195" i="2" s="1"/>
  <c r="AI194" i="2"/>
  <c r="M195" i="2" s="1"/>
  <c r="AF194" i="2" l="1"/>
  <c r="J195" i="2" s="1"/>
  <c r="AG194" i="2"/>
  <c r="K195" i="2" s="1"/>
  <c r="AE194" i="2"/>
  <c r="I195" i="2" s="1"/>
  <c r="AB194" i="2"/>
  <c r="F195" i="2" s="1"/>
  <c r="AC194" i="2"/>
  <c r="G195" i="2" s="1"/>
  <c r="AD194" i="2"/>
  <c r="H195" i="2" s="1"/>
  <c r="O195" i="2" l="1"/>
  <c r="P195" i="2" s="1"/>
  <c r="Q195" i="2"/>
  <c r="R195" i="2" s="1"/>
  <c r="S195" i="2" l="1"/>
  <c r="T195" i="2" s="1"/>
  <c r="V195" i="2" l="1"/>
  <c r="U195" i="2"/>
  <c r="X195" i="2" s="1"/>
  <c r="W195" i="2" l="1"/>
  <c r="Y195" i="2"/>
  <c r="AA195" i="2" l="1"/>
  <c r="Z195" i="2"/>
  <c r="AJ195" i="2"/>
  <c r="N196" i="2" s="1"/>
  <c r="AI195" i="2"/>
  <c r="M196" i="2" s="1"/>
  <c r="AH195" i="2"/>
  <c r="L196" i="2" s="1"/>
  <c r="AD195" i="2" l="1"/>
  <c r="H196" i="2" s="1"/>
  <c r="AC195" i="2"/>
  <c r="G196" i="2" s="1"/>
  <c r="AB195" i="2"/>
  <c r="F196" i="2" s="1"/>
  <c r="AF195" i="2"/>
  <c r="J196" i="2" s="1"/>
  <c r="AE195" i="2"/>
  <c r="I196" i="2" s="1"/>
  <c r="AG195" i="2"/>
  <c r="K196" i="2" s="1"/>
  <c r="O196" i="2" l="1"/>
  <c r="P196" i="2" s="1"/>
  <c r="Q196" i="2"/>
  <c r="R196" i="2" s="1"/>
  <c r="S196" i="2" l="1"/>
  <c r="T196" i="2" s="1"/>
  <c r="V196" i="2" l="1"/>
  <c r="U196" i="2"/>
  <c r="X196" i="2" s="1"/>
  <c r="W196" i="2" l="1"/>
  <c r="Y196" i="2"/>
  <c r="Z196" i="2" l="1"/>
  <c r="AA196" i="2"/>
  <c r="AJ196" i="2"/>
  <c r="N197" i="2" s="1"/>
  <c r="AI196" i="2"/>
  <c r="M197" i="2" s="1"/>
  <c r="AH196" i="2"/>
  <c r="L197" i="2" s="1"/>
  <c r="AF196" i="2" l="1"/>
  <c r="J197" i="2" s="1"/>
  <c r="AE196" i="2"/>
  <c r="I197" i="2" s="1"/>
  <c r="AG196" i="2"/>
  <c r="K197" i="2" s="1"/>
  <c r="AD196" i="2"/>
  <c r="H197" i="2" s="1"/>
  <c r="AC196" i="2"/>
  <c r="G197" i="2" s="1"/>
  <c r="AB196" i="2"/>
  <c r="F197" i="2" s="1"/>
  <c r="Q197" i="2" l="1"/>
  <c r="R197" i="2" s="1"/>
  <c r="O197" i="2"/>
  <c r="P197" i="2" s="1"/>
  <c r="S197" i="2" s="1"/>
  <c r="T197" i="2" s="1"/>
  <c r="V197" i="2" l="1"/>
  <c r="U197" i="2"/>
  <c r="X197" i="2" s="1"/>
  <c r="W197" i="2" l="1"/>
  <c r="Y197" i="2"/>
  <c r="AA197" i="2" l="1"/>
  <c r="Z197" i="2"/>
  <c r="AI197" i="2"/>
  <c r="M198" i="2" s="1"/>
  <c r="AH197" i="2"/>
  <c r="L198" i="2" s="1"/>
  <c r="AJ197" i="2"/>
  <c r="N198" i="2" s="1"/>
  <c r="AD197" i="2" l="1"/>
  <c r="H198" i="2" s="1"/>
  <c r="AB197" i="2"/>
  <c r="F198" i="2" s="1"/>
  <c r="AC197" i="2"/>
  <c r="G198" i="2" s="1"/>
  <c r="AG197" i="2"/>
  <c r="K198" i="2" s="1"/>
  <c r="AE197" i="2"/>
  <c r="I198" i="2" s="1"/>
  <c r="AF197" i="2"/>
  <c r="J198" i="2" s="1"/>
  <c r="Q198" i="2" l="1"/>
  <c r="R198" i="2" s="1"/>
  <c r="O198" i="2"/>
  <c r="P198" i="2" s="1"/>
  <c r="S198" i="2" s="1"/>
  <c r="T198" i="2" s="1"/>
  <c r="V198" i="2" l="1"/>
  <c r="U198" i="2"/>
  <c r="X198" i="2" s="1"/>
  <c r="Y198" i="2" l="1"/>
  <c r="W198" i="2"/>
  <c r="AA198" i="2" l="1"/>
  <c r="Z198" i="2"/>
  <c r="AJ198" i="2"/>
  <c r="N199" i="2" s="1"/>
  <c r="AH198" i="2"/>
  <c r="L199" i="2" s="1"/>
  <c r="AI198" i="2"/>
  <c r="M199" i="2" s="1"/>
  <c r="AB198" i="2" l="1"/>
  <c r="F199" i="2" s="1"/>
  <c r="AD198" i="2"/>
  <c r="H199" i="2" s="1"/>
  <c r="AC198" i="2"/>
  <c r="G199" i="2" s="1"/>
  <c r="AE198" i="2"/>
  <c r="I199" i="2" s="1"/>
  <c r="AG198" i="2"/>
  <c r="K199" i="2" s="1"/>
  <c r="AF198" i="2"/>
  <c r="J199" i="2" s="1"/>
  <c r="Q199" i="2" l="1"/>
  <c r="R199" i="2" s="1"/>
  <c r="O199" i="2"/>
  <c r="P199" i="2" s="1"/>
  <c r="S199" i="2" s="1"/>
  <c r="T199" i="2" s="1"/>
  <c r="V199" i="2" l="1"/>
  <c r="U199" i="2"/>
  <c r="X199" i="2" s="1"/>
  <c r="Y199" i="2" l="1"/>
  <c r="W199" i="2"/>
  <c r="AA199" i="2" l="1"/>
  <c r="Z199" i="2"/>
  <c r="AI199" i="2"/>
  <c r="M200" i="2" s="1"/>
  <c r="AJ199" i="2"/>
  <c r="N200" i="2" s="1"/>
  <c r="AH199" i="2"/>
  <c r="L200" i="2" s="1"/>
  <c r="AD199" i="2" l="1"/>
  <c r="H200" i="2" s="1"/>
  <c r="AB199" i="2"/>
  <c r="F200" i="2" s="1"/>
  <c r="AC199" i="2"/>
  <c r="G200" i="2" s="1"/>
  <c r="AE199" i="2"/>
  <c r="I200" i="2" s="1"/>
  <c r="AF199" i="2"/>
  <c r="J200" i="2" s="1"/>
  <c r="AG199" i="2"/>
  <c r="K200" i="2" s="1"/>
  <c r="Q200" i="2" l="1"/>
  <c r="R200" i="2" s="1"/>
  <c r="O200" i="2"/>
  <c r="P200" i="2" s="1"/>
  <c r="S200" i="2" s="1"/>
  <c r="T200" i="2" s="1"/>
  <c r="V200" i="2" l="1"/>
  <c r="U200" i="2"/>
  <c r="X200" i="2" s="1"/>
  <c r="Y200" i="2" l="1"/>
  <c r="W200" i="2"/>
  <c r="AA200" i="2" l="1"/>
  <c r="Z200" i="2"/>
  <c r="AI200" i="2"/>
  <c r="M201" i="2" s="1"/>
  <c r="AJ200" i="2"/>
  <c r="N201" i="2" s="1"/>
  <c r="AH200" i="2"/>
  <c r="L201" i="2" s="1"/>
  <c r="AD200" i="2" l="1"/>
  <c r="H201" i="2" s="1"/>
  <c r="AC200" i="2"/>
  <c r="G201" i="2" s="1"/>
  <c r="AB200" i="2"/>
  <c r="F201" i="2" s="1"/>
  <c r="AE200" i="2"/>
  <c r="I201" i="2" s="1"/>
  <c r="AF200" i="2"/>
  <c r="J201" i="2" s="1"/>
  <c r="AG200" i="2"/>
  <c r="K201" i="2" s="1"/>
  <c r="Q201" i="2" l="1"/>
  <c r="R201" i="2" s="1"/>
  <c r="O201" i="2"/>
  <c r="P201" i="2" s="1"/>
  <c r="S201" i="2" s="1"/>
  <c r="T201" i="2" s="1"/>
  <c r="V201" i="2" l="1"/>
  <c r="U201" i="2"/>
  <c r="X201" i="2" s="1"/>
  <c r="W201" i="2" l="1"/>
  <c r="Y201" i="2"/>
  <c r="AA201" i="2" l="1"/>
  <c r="Z201" i="2"/>
  <c r="AJ201" i="2"/>
  <c r="N202" i="2" s="1"/>
  <c r="AI201" i="2"/>
  <c r="M202" i="2" s="1"/>
  <c r="AH201" i="2"/>
  <c r="L202" i="2" s="1"/>
  <c r="AD201" i="2" l="1"/>
  <c r="H202" i="2" s="1"/>
  <c r="AB201" i="2"/>
  <c r="F202" i="2" s="1"/>
  <c r="AC201" i="2"/>
  <c r="G202" i="2" s="1"/>
  <c r="AE201" i="2"/>
  <c r="I202" i="2" s="1"/>
  <c r="AG201" i="2"/>
  <c r="K202" i="2" s="1"/>
  <c r="AF201" i="2"/>
  <c r="J202" i="2" s="1"/>
  <c r="Q202" i="2" l="1"/>
  <c r="R202" i="2" s="1"/>
  <c r="O202" i="2"/>
  <c r="P202" i="2" s="1"/>
  <c r="S202" i="2" s="1"/>
  <c r="T202" i="2" s="1"/>
  <c r="V202" i="2" l="1"/>
  <c r="U202" i="2"/>
  <c r="X202" i="2" s="1"/>
  <c r="Y202" i="2" l="1"/>
  <c r="W202" i="2"/>
  <c r="AA202" i="2" l="1"/>
  <c r="Z202" i="2"/>
  <c r="AI202" i="2"/>
  <c r="M203" i="2" s="1"/>
  <c r="AH202" i="2"/>
  <c r="L203" i="2" s="1"/>
  <c r="AJ202" i="2"/>
  <c r="N203" i="2" s="1"/>
  <c r="AC202" i="2" l="1"/>
  <c r="G203" i="2" s="1"/>
  <c r="AB202" i="2"/>
  <c r="F203" i="2" s="1"/>
  <c r="AD202" i="2"/>
  <c r="H203" i="2" s="1"/>
  <c r="AF202" i="2"/>
  <c r="J203" i="2" s="1"/>
  <c r="AG202" i="2"/>
  <c r="K203" i="2" s="1"/>
  <c r="AE202" i="2"/>
  <c r="I203" i="2" s="1"/>
  <c r="O203" i="2" l="1"/>
  <c r="P203" i="2" s="1"/>
  <c r="Q203" i="2"/>
  <c r="R203" i="2" s="1"/>
  <c r="S203" i="2" l="1"/>
  <c r="T203" i="2" s="1"/>
  <c r="V203" i="2" l="1"/>
  <c r="U203" i="2"/>
  <c r="X203" i="2" s="1"/>
  <c r="W203" i="2" l="1"/>
  <c r="Y203" i="2"/>
  <c r="AA203" i="2" l="1"/>
  <c r="Z203" i="2"/>
  <c r="AJ203" i="2"/>
  <c r="N204" i="2" s="1"/>
  <c r="AI203" i="2"/>
  <c r="M204" i="2" s="1"/>
  <c r="AH203" i="2"/>
  <c r="L204" i="2" s="1"/>
  <c r="AC203" i="2" l="1"/>
  <c r="G204" i="2" s="1"/>
  <c r="AB203" i="2"/>
  <c r="F204" i="2" s="1"/>
  <c r="AD203" i="2"/>
  <c r="H204" i="2" s="1"/>
  <c r="AF203" i="2"/>
  <c r="J204" i="2" s="1"/>
  <c r="AE203" i="2"/>
  <c r="I204" i="2" s="1"/>
  <c r="AG203" i="2"/>
  <c r="K204" i="2" s="1"/>
  <c r="O204" i="2" l="1"/>
  <c r="P204" i="2" s="1"/>
  <c r="Q204" i="2"/>
  <c r="R204" i="2" s="1"/>
  <c r="S204" i="2" l="1"/>
  <c r="T204" i="2" s="1"/>
  <c r="V204" i="2" l="1"/>
  <c r="U204" i="2"/>
  <c r="X204" i="2" s="1"/>
  <c r="Y204" i="2" l="1"/>
  <c r="W204" i="2"/>
  <c r="Z204" i="2" l="1"/>
  <c r="AA204" i="2"/>
  <c r="AI204" i="2"/>
  <c r="M205" i="2" s="1"/>
  <c r="AH204" i="2"/>
  <c r="L205" i="2" s="1"/>
  <c r="AJ204" i="2"/>
  <c r="N205" i="2" s="1"/>
  <c r="AF204" i="2" l="1"/>
  <c r="J205" i="2" s="1"/>
  <c r="AG204" i="2"/>
  <c r="K205" i="2" s="1"/>
  <c r="AE204" i="2"/>
  <c r="I205" i="2" s="1"/>
  <c r="AB204" i="2"/>
  <c r="F205" i="2" s="1"/>
  <c r="AD204" i="2"/>
  <c r="H205" i="2" s="1"/>
  <c r="AC204" i="2"/>
  <c r="G205" i="2" s="1"/>
  <c r="O205" i="2" l="1"/>
  <c r="P205" i="2" s="1"/>
  <c r="Q205" i="2"/>
  <c r="R205" i="2" s="1"/>
  <c r="S205" i="2" l="1"/>
  <c r="T205" i="2" s="1"/>
  <c r="V205" i="2" l="1"/>
  <c r="U205" i="2"/>
  <c r="X205" i="2" s="1"/>
  <c r="Y205" i="2" l="1"/>
  <c r="W205" i="2"/>
  <c r="Z205" i="2" l="1"/>
  <c r="AA205" i="2"/>
  <c r="AJ205" i="2"/>
  <c r="N206" i="2" s="1"/>
  <c r="AI205" i="2"/>
  <c r="M206" i="2" s="1"/>
  <c r="AH205" i="2"/>
  <c r="L206" i="2" s="1"/>
  <c r="AF205" i="2" l="1"/>
  <c r="J206" i="2" s="1"/>
  <c r="AG205" i="2"/>
  <c r="K206" i="2" s="1"/>
  <c r="AE205" i="2"/>
  <c r="I206" i="2" s="1"/>
  <c r="AB205" i="2"/>
  <c r="F206" i="2" s="1"/>
  <c r="AD205" i="2"/>
  <c r="H206" i="2" s="1"/>
  <c r="AC205" i="2"/>
  <c r="G206" i="2" s="1"/>
  <c r="Q206" i="2" l="1"/>
  <c r="R206" i="2" s="1"/>
  <c r="O206" i="2"/>
  <c r="P206" i="2" s="1"/>
  <c r="S206" i="2" s="1"/>
  <c r="T206" i="2" s="1"/>
  <c r="V206" i="2" l="1"/>
  <c r="U206" i="2"/>
  <c r="X206" i="2" s="1"/>
  <c r="Y206" i="2" l="1"/>
  <c r="W206" i="2"/>
  <c r="AA206" i="2" l="1"/>
  <c r="Z206" i="2"/>
  <c r="AH206" i="2"/>
  <c r="L207" i="2" s="1"/>
  <c r="AJ206" i="2"/>
  <c r="N207" i="2" s="1"/>
  <c r="AI206" i="2"/>
  <c r="M207" i="2" s="1"/>
  <c r="AD206" i="2" l="1"/>
  <c r="H207" i="2" s="1"/>
  <c r="AC206" i="2"/>
  <c r="G207" i="2" s="1"/>
  <c r="AB206" i="2"/>
  <c r="F207" i="2" s="1"/>
  <c r="AF206" i="2"/>
  <c r="J207" i="2" s="1"/>
  <c r="AG206" i="2"/>
  <c r="K207" i="2" s="1"/>
  <c r="AE206" i="2"/>
  <c r="I207" i="2" s="1"/>
  <c r="O207" i="2" l="1"/>
  <c r="P207" i="2" s="1"/>
  <c r="Q207" i="2"/>
  <c r="R207" i="2" s="1"/>
  <c r="S207" i="2" l="1"/>
  <c r="T207" i="2" s="1"/>
  <c r="V207" i="2" l="1"/>
  <c r="U207" i="2"/>
  <c r="X207" i="2" s="1"/>
  <c r="W207" i="2" l="1"/>
  <c r="Y207" i="2"/>
  <c r="AA207" i="2" l="1"/>
  <c r="Z207" i="2"/>
  <c r="AI207" i="2"/>
  <c r="M208" i="2" s="1"/>
  <c r="AJ207" i="2"/>
  <c r="N208" i="2" s="1"/>
  <c r="AH207" i="2"/>
  <c r="L208" i="2" s="1"/>
  <c r="AB207" i="2" l="1"/>
  <c r="F208" i="2" s="1"/>
  <c r="AD207" i="2"/>
  <c r="H208" i="2" s="1"/>
  <c r="AC207" i="2"/>
  <c r="G208" i="2" s="1"/>
  <c r="AF207" i="2"/>
  <c r="J208" i="2" s="1"/>
  <c r="AG207" i="2"/>
  <c r="K208" i="2" s="1"/>
  <c r="AE207" i="2"/>
  <c r="I208" i="2" s="1"/>
  <c r="O208" i="2" l="1"/>
  <c r="P208" i="2" s="1"/>
  <c r="Q208" i="2"/>
  <c r="R208" i="2" s="1"/>
  <c r="S208" i="2" l="1"/>
  <c r="T208" i="2" s="1"/>
  <c r="V208" i="2" l="1"/>
  <c r="U208" i="2"/>
  <c r="X208" i="2" s="1"/>
  <c r="Y208" i="2" l="1"/>
  <c r="W208" i="2"/>
  <c r="Z208" i="2" l="1"/>
  <c r="AA208" i="2"/>
  <c r="AI208" i="2"/>
  <c r="M209" i="2" s="1"/>
  <c r="AH208" i="2"/>
  <c r="L209" i="2" s="1"/>
  <c r="AJ208" i="2"/>
  <c r="N209" i="2" s="1"/>
  <c r="AF208" i="2" l="1"/>
  <c r="J209" i="2" s="1"/>
  <c r="AE208" i="2"/>
  <c r="I209" i="2" s="1"/>
  <c r="AG208" i="2"/>
  <c r="K209" i="2" s="1"/>
  <c r="AB208" i="2"/>
  <c r="F209" i="2" s="1"/>
  <c r="AC208" i="2"/>
  <c r="G209" i="2" s="1"/>
  <c r="AD208" i="2"/>
  <c r="H209" i="2" s="1"/>
  <c r="O209" i="2" l="1"/>
  <c r="P209" i="2" s="1"/>
  <c r="Q209" i="2"/>
  <c r="R209" i="2" s="1"/>
  <c r="S209" i="2" l="1"/>
  <c r="T209" i="2" s="1"/>
  <c r="V209" i="2" l="1"/>
  <c r="U209" i="2"/>
  <c r="X209" i="2" s="1"/>
  <c r="W209" i="2" l="1"/>
  <c r="Y209" i="2"/>
  <c r="AA209" i="2" l="1"/>
  <c r="Z209" i="2"/>
  <c r="AJ209" i="2"/>
  <c r="N210" i="2" s="1"/>
  <c r="AH209" i="2"/>
  <c r="L210" i="2" s="1"/>
  <c r="AI209" i="2"/>
  <c r="M210" i="2" s="1"/>
  <c r="AC209" i="2" l="1"/>
  <c r="G210" i="2" s="1"/>
  <c r="AB209" i="2"/>
  <c r="F210" i="2" s="1"/>
  <c r="AD209" i="2"/>
  <c r="H210" i="2" s="1"/>
  <c r="AG209" i="2"/>
  <c r="K210" i="2" s="1"/>
  <c r="AE209" i="2"/>
  <c r="I210" i="2" s="1"/>
  <c r="AF209" i="2"/>
  <c r="J210" i="2" s="1"/>
  <c r="O210" i="2" l="1"/>
  <c r="P210" i="2" s="1"/>
  <c r="Q210" i="2"/>
  <c r="R210" i="2" s="1"/>
  <c r="S210" i="2" l="1"/>
  <c r="T210" i="2" s="1"/>
  <c r="V210" i="2" l="1"/>
  <c r="U210" i="2"/>
  <c r="X210" i="2" s="1"/>
  <c r="Y210" i="2" l="1"/>
  <c r="W210" i="2"/>
  <c r="AA210" i="2" l="1"/>
  <c r="Z210" i="2"/>
  <c r="AH210" i="2"/>
  <c r="L211" i="2" s="1"/>
  <c r="AI210" i="2"/>
  <c r="M211" i="2" s="1"/>
  <c r="AJ210" i="2"/>
  <c r="N211" i="2" s="1"/>
  <c r="AD210" i="2" l="1"/>
  <c r="H211" i="2" s="1"/>
  <c r="AC210" i="2"/>
  <c r="G211" i="2" s="1"/>
  <c r="AB210" i="2"/>
  <c r="F211" i="2" s="1"/>
  <c r="AG210" i="2"/>
  <c r="K211" i="2" s="1"/>
  <c r="AF210" i="2"/>
  <c r="J211" i="2" s="1"/>
  <c r="AE210" i="2"/>
  <c r="I211" i="2" s="1"/>
  <c r="O211" i="2" l="1"/>
  <c r="P211" i="2" s="1"/>
  <c r="Q211" i="2"/>
  <c r="R211" i="2" s="1"/>
  <c r="S211" i="2" l="1"/>
  <c r="T211" i="2" s="1"/>
  <c r="V211" i="2" l="1"/>
  <c r="U211" i="2"/>
  <c r="X211" i="2" s="1"/>
  <c r="W211" i="2" l="1"/>
  <c r="Y211" i="2"/>
  <c r="AA211" i="2" l="1"/>
  <c r="Z211" i="2"/>
  <c r="AI211" i="2"/>
  <c r="M212" i="2" s="1"/>
  <c r="AJ211" i="2"/>
  <c r="N212" i="2" s="1"/>
  <c r="AH211" i="2"/>
  <c r="L212" i="2" s="1"/>
  <c r="AD211" i="2" l="1"/>
  <c r="H212" i="2" s="1"/>
  <c r="AC211" i="2"/>
  <c r="G212" i="2" s="1"/>
  <c r="AB211" i="2"/>
  <c r="F212" i="2" s="1"/>
  <c r="AF211" i="2"/>
  <c r="J212" i="2" s="1"/>
  <c r="AG211" i="2"/>
  <c r="K212" i="2" s="1"/>
  <c r="AE211" i="2"/>
  <c r="I212" i="2" s="1"/>
  <c r="O212" i="2" l="1"/>
  <c r="P212" i="2" s="1"/>
  <c r="Q212" i="2"/>
  <c r="R212" i="2" s="1"/>
  <c r="S212" i="2" l="1"/>
  <c r="T212" i="2" s="1"/>
  <c r="V212" i="2" l="1"/>
  <c r="U212" i="2"/>
  <c r="X212" i="2" s="1"/>
  <c r="W212" i="2" l="1"/>
  <c r="Y212" i="2"/>
  <c r="Z212" i="2" l="1"/>
  <c r="AA212" i="2"/>
  <c r="AI212" i="2"/>
  <c r="M213" i="2" s="1"/>
  <c r="AH212" i="2"/>
  <c r="L213" i="2" s="1"/>
  <c r="AJ212" i="2"/>
  <c r="N213" i="2" s="1"/>
  <c r="AF212" i="2" l="1"/>
  <c r="J213" i="2" s="1"/>
  <c r="AE212" i="2"/>
  <c r="I213" i="2" s="1"/>
  <c r="AG212" i="2"/>
  <c r="K213" i="2" s="1"/>
  <c r="AC212" i="2"/>
  <c r="G213" i="2" s="1"/>
  <c r="AB212" i="2"/>
  <c r="F213" i="2" s="1"/>
  <c r="AD212" i="2"/>
  <c r="H213" i="2" s="1"/>
  <c r="Q213" i="2" l="1"/>
  <c r="R213" i="2" s="1"/>
  <c r="O213" i="2"/>
  <c r="P213" i="2" s="1"/>
  <c r="S213" i="2" s="1"/>
  <c r="T213" i="2" s="1"/>
  <c r="V213" i="2" l="1"/>
  <c r="U213" i="2"/>
  <c r="X213" i="2" s="1"/>
  <c r="Y213" i="2" l="1"/>
  <c r="W213" i="2"/>
  <c r="AA213" i="2" l="1"/>
  <c r="Z213" i="2"/>
  <c r="AH213" i="2"/>
  <c r="L214" i="2" s="1"/>
  <c r="AJ213" i="2"/>
  <c r="N214" i="2" s="1"/>
  <c r="AI213" i="2"/>
  <c r="M214" i="2" s="1"/>
  <c r="AC213" i="2" l="1"/>
  <c r="G214" i="2" s="1"/>
  <c r="AD213" i="2"/>
  <c r="H214" i="2" s="1"/>
  <c r="AB213" i="2"/>
  <c r="F214" i="2" s="1"/>
  <c r="AE213" i="2"/>
  <c r="I214" i="2" s="1"/>
  <c r="AF213" i="2"/>
  <c r="J214" i="2" s="1"/>
  <c r="AG213" i="2"/>
  <c r="K214" i="2" s="1"/>
  <c r="O214" i="2" l="1"/>
  <c r="P214" i="2" s="1"/>
  <c r="Q214" i="2"/>
  <c r="R214" i="2" s="1"/>
  <c r="S214" i="2" l="1"/>
  <c r="T214" i="2" s="1"/>
  <c r="V214" i="2" l="1"/>
  <c r="U214" i="2"/>
  <c r="X214" i="2" s="1"/>
  <c r="Y214" i="2" l="1"/>
  <c r="W214" i="2"/>
  <c r="AA214" i="2" l="1"/>
  <c r="Z214" i="2"/>
  <c r="AI214" i="2"/>
  <c r="M215" i="2" s="1"/>
  <c r="AJ214" i="2"/>
  <c r="N215" i="2" s="1"/>
  <c r="AH214" i="2"/>
  <c r="L215" i="2" s="1"/>
  <c r="AB214" i="2" l="1"/>
  <c r="F215" i="2" s="1"/>
  <c r="AC214" i="2"/>
  <c r="G215" i="2" s="1"/>
  <c r="AD214" i="2"/>
  <c r="H215" i="2" s="1"/>
  <c r="AE214" i="2"/>
  <c r="I215" i="2" s="1"/>
  <c r="AG214" i="2"/>
  <c r="K215" i="2" s="1"/>
  <c r="AF214" i="2"/>
  <c r="J215" i="2" s="1"/>
  <c r="Q215" i="2" l="1"/>
  <c r="R215" i="2" s="1"/>
  <c r="O215" i="2"/>
  <c r="P215" i="2" s="1"/>
  <c r="S215" i="2" s="1"/>
  <c r="T215" i="2" s="1"/>
  <c r="V215" i="2" l="1"/>
  <c r="U215" i="2"/>
  <c r="X215" i="2" s="1"/>
  <c r="Y215" i="2" l="1"/>
  <c r="W215" i="2"/>
  <c r="AA215" i="2" l="1"/>
  <c r="Z215" i="2"/>
  <c r="AJ215" i="2"/>
  <c r="N216" i="2" s="1"/>
  <c r="AH215" i="2"/>
  <c r="L216" i="2" s="1"/>
  <c r="AI215" i="2"/>
  <c r="M216" i="2" s="1"/>
  <c r="AD215" i="2" l="1"/>
  <c r="H216" i="2" s="1"/>
  <c r="AB215" i="2"/>
  <c r="F216" i="2" s="1"/>
  <c r="AC215" i="2"/>
  <c r="G216" i="2" s="1"/>
  <c r="AF215" i="2"/>
  <c r="J216" i="2" s="1"/>
  <c r="AE215" i="2"/>
  <c r="I216" i="2" s="1"/>
  <c r="AG215" i="2"/>
  <c r="K216" i="2" s="1"/>
  <c r="O216" i="2" l="1"/>
  <c r="P216" i="2" s="1"/>
  <c r="Q216" i="2"/>
  <c r="R216" i="2" s="1"/>
  <c r="S216" i="2" l="1"/>
  <c r="T216" i="2" s="1"/>
  <c r="V216" i="2" l="1"/>
  <c r="U216" i="2"/>
  <c r="X216" i="2" s="1"/>
  <c r="W216" i="2" l="1"/>
  <c r="Y216" i="2"/>
  <c r="Z216" i="2" l="1"/>
  <c r="AA216" i="2"/>
  <c r="AH216" i="2"/>
  <c r="L217" i="2" s="1"/>
  <c r="AI216" i="2"/>
  <c r="M217" i="2" s="1"/>
  <c r="AJ216" i="2"/>
  <c r="N217" i="2" s="1"/>
  <c r="AF216" i="2" l="1"/>
  <c r="J217" i="2" s="1"/>
  <c r="AG216" i="2"/>
  <c r="K217" i="2" s="1"/>
  <c r="AE216" i="2"/>
  <c r="I217" i="2" s="1"/>
  <c r="AC216" i="2"/>
  <c r="G217" i="2" s="1"/>
  <c r="AD216" i="2"/>
  <c r="H217" i="2" s="1"/>
  <c r="AB216" i="2"/>
  <c r="F217" i="2" s="1"/>
  <c r="Q217" i="2" l="1"/>
  <c r="R217" i="2" s="1"/>
  <c r="O217" i="2"/>
  <c r="P217" i="2" s="1"/>
  <c r="S217" i="2" s="1"/>
  <c r="T217" i="2" s="1"/>
  <c r="V217" i="2" l="1"/>
  <c r="U217" i="2"/>
  <c r="X217" i="2" s="1"/>
  <c r="W217" i="2" l="1"/>
  <c r="Y217" i="2"/>
  <c r="AA217" i="2" l="1"/>
  <c r="Z217" i="2"/>
  <c r="AJ217" i="2"/>
  <c r="AI217" i="2"/>
  <c r="AH217" i="2"/>
  <c r="AC217" i="2" l="1"/>
  <c r="AB217" i="2"/>
  <c r="AD217" i="2"/>
  <c r="AE217" i="2"/>
  <c r="AF217" i="2"/>
  <c r="AG217" i="2"/>
</calcChain>
</file>

<file path=xl/sharedStrings.xml><?xml version="1.0" encoding="utf-8"?>
<sst xmlns="http://schemas.openxmlformats.org/spreadsheetml/2006/main" count="84" uniqueCount="84">
  <si>
    <t>Multi-Layer Perceptron (MLP) - XOR Backpropagation Training (Sigmoid Activation)</t>
  </si>
  <si>
    <t>1. Initial Hyperparameters &amp; Network Weights</t>
  </si>
  <si>
    <t>Parameter</t>
  </si>
  <si>
    <t>Symbol</t>
  </si>
  <si>
    <t>Cell Ref</t>
  </si>
  <si>
    <t>Initial Value</t>
  </si>
  <si>
    <t>Description</t>
  </si>
  <si>
    <t>Learning Rate</t>
  </si>
  <si>
    <t>eta</t>
  </si>
  <si>
    <t>D5</t>
  </si>
  <si>
    <t>Learning rate for weight updates</t>
  </si>
  <si>
    <t>Hidden 1 Weight 1</t>
  </si>
  <si>
    <t>D6</t>
  </si>
  <si>
    <t>Initial weight x1 -&gt; Hidden 1</t>
  </si>
  <si>
    <t>Hidden 1 Weight 2</t>
  </si>
  <si>
    <t>D7</t>
  </si>
  <si>
    <t>Initial weight x2 -&gt; Hidden 1</t>
  </si>
  <si>
    <t>Hidden 1 Bias</t>
  </si>
  <si>
    <t>D8</t>
  </si>
  <si>
    <t>Initial bias for Hidden 1</t>
  </si>
  <si>
    <t>Hidden 2 Weight 1</t>
  </si>
  <si>
    <t>D9</t>
  </si>
  <si>
    <t>Initial weight x1 -&gt; Hidden 2</t>
  </si>
  <si>
    <t>Hidden 2 Weight 2</t>
  </si>
  <si>
    <t>D10</t>
  </si>
  <si>
    <t>Initial weight x2 -&gt; Hidden 2</t>
  </si>
  <si>
    <t>Hidden 2 Bias</t>
  </si>
  <si>
    <t>D11</t>
  </si>
  <si>
    <t>Initial bias for Hidden 2</t>
  </si>
  <si>
    <t>Output Weight 1</t>
  </si>
  <si>
    <t>D12</t>
  </si>
  <si>
    <t>Initial weight h1 -&gt; Output</t>
  </si>
  <si>
    <t>Output Weight 2</t>
  </si>
  <si>
    <t>D13</t>
  </si>
  <si>
    <t>Initial weight h2 -&gt; Output</t>
  </si>
  <si>
    <t>Output Bias</t>
  </si>
  <si>
    <t>D14</t>
  </si>
  <si>
    <t>Initial bias for Output Neuron</t>
  </si>
  <si>
    <t>2. Backpropagation Step-by-Step Iteration Table</t>
  </si>
  <si>
    <t>Epoch</t>
  </si>
  <si>
    <t>Iter</t>
  </si>
  <si>
    <t>x1</t>
  </si>
  <si>
    <t>x2</t>
  </si>
  <si>
    <t>Target</t>
  </si>
  <si>
    <t>w11_in</t>
  </si>
  <si>
    <t>w21_in</t>
  </si>
  <si>
    <t>w12_in</t>
  </si>
  <si>
    <t>w22_in</t>
  </si>
  <si>
    <t>z_h1</t>
  </si>
  <si>
    <t>h1</t>
  </si>
  <si>
    <t>z_h2</t>
  </si>
  <si>
    <t>h2</t>
  </si>
  <si>
    <t>z_y</t>
  </si>
  <si>
    <t>y_hat</t>
  </si>
  <si>
    <t>Error</t>
  </si>
  <si>
    <t>MSE</t>
  </si>
  <si>
    <t>delta_y</t>
  </si>
  <si>
    <t>delta_h1</t>
  </si>
  <si>
    <t>delta_h2</t>
  </si>
  <si>
    <t>w11_out</t>
  </si>
  <si>
    <t>w21_out</t>
  </si>
  <si>
    <t>w12_out</t>
  </si>
  <si>
    <t>w22_out</t>
  </si>
  <si>
    <t>y_classified</t>
  </si>
  <si>
    <t>Correct?</t>
  </si>
  <si>
    <t>w11</t>
  </si>
  <si>
    <t>w21</t>
  </si>
  <si>
    <t>b1</t>
  </si>
  <si>
    <t>w12</t>
  </si>
  <si>
    <t>w22</t>
  </si>
  <si>
    <t>b2</t>
  </si>
  <si>
    <t>b3</t>
  </si>
  <si>
    <t>w1</t>
  </si>
  <si>
    <t>w2</t>
  </si>
  <si>
    <t>w1_in</t>
  </si>
  <si>
    <t>w2_in</t>
  </si>
  <si>
    <t>b1_out</t>
  </si>
  <si>
    <t>b2_out</t>
  </si>
  <si>
    <t>b3_out</t>
  </si>
  <si>
    <t>w1_out</t>
  </si>
  <si>
    <t>w2_out</t>
  </si>
  <si>
    <t>b1_in</t>
  </si>
  <si>
    <t>b2_in</t>
  </si>
  <si>
    <t>b3_in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</si>
</sst>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1F4E79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3300"/>
        </patternFill>
      </fill>
    </dxf>
  </dxfs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1E7E-D52B-4A6C-AD3D-ED4844E43E2D}">
  <dimension ref="A1:AJ217"/>
  <sheetViews>
    <sheetView tabSelected="1" workbookViewId="0">
      <selection activeCell="D6" sqref="D6"/>
    </sheetView>
  </sheetViews>
  <sheetFormatPr defaultRowHeight="18" customHeight="1" x14ac:dyDescent="0.25"/>
  <cols>
    <col min="1" max="1" width="15.5703125" style="21" bestFit="1" customWidth="1"/>
    <col min="2" max="2" width="6.7109375" style="21" bestFit="1" customWidth="1"/>
    <col min="3" max="3" width="6.85546875" style="21" bestFit="1" customWidth="1"/>
    <col min="4" max="4" width="10.140625" style="21" bestFit="1" customWidth="1"/>
    <col min="5" max="5" width="6" style="21" bestFit="1" customWidth="1"/>
    <col min="6" max="7" width="6.7109375" style="21" bestFit="1" customWidth="1"/>
    <col min="8" max="8" width="7.140625" style="21" bestFit="1" customWidth="1"/>
    <col min="9" max="10" width="7" style="21" bestFit="1" customWidth="1"/>
    <col min="11" max="11" width="7.140625" style="21" bestFit="1" customWidth="1"/>
    <col min="12" max="13" width="6.42578125" style="21" bestFit="1" customWidth="1"/>
    <col min="14" max="15" width="7" style="21" bestFit="1" customWidth="1"/>
    <col min="16" max="16" width="6.42578125" style="21" bestFit="1" customWidth="1"/>
    <col min="17" max="17" width="7" style="21" bestFit="1" customWidth="1"/>
    <col min="18" max="18" width="6.42578125" style="21" bestFit="1" customWidth="1"/>
    <col min="19" max="19" width="7" style="21" bestFit="1" customWidth="1"/>
    <col min="20" max="20" width="6.42578125" style="21" bestFit="1" customWidth="1"/>
    <col min="21" max="21" width="9.5703125" style="6" bestFit="1" customWidth="1"/>
    <col min="22" max="22" width="7" style="6" bestFit="1" customWidth="1"/>
    <col min="23" max="23" width="6.42578125" style="6" bestFit="1" customWidth="1"/>
    <col min="24" max="24" width="7.7109375" style="6" bestFit="1" customWidth="1"/>
    <col min="25" max="25" width="7" style="6" bestFit="1" customWidth="1"/>
    <col min="26" max="27" width="7.85546875" style="21" bestFit="1" customWidth="1"/>
    <col min="28" max="29" width="8" style="21" bestFit="1" customWidth="1"/>
    <col min="30" max="30" width="8.42578125" style="21" bestFit="1" customWidth="1"/>
    <col min="31" max="32" width="8" style="21" bestFit="1" customWidth="1"/>
    <col min="33" max="33" width="8.42578125" style="21" bestFit="1" customWidth="1"/>
    <col min="34" max="35" width="7" style="21" bestFit="1" customWidth="1"/>
    <col min="36" max="36" width="7.28515625" style="21" bestFit="1" customWidth="1"/>
    <col min="37" max="16384" width="9.140625" style="21"/>
  </cols>
  <sheetData>
    <row r="1" spans="1:36" ht="18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3" spans="1:36" ht="18" customHeight="1" thickBot="1" x14ac:dyDescent="0.3">
      <c r="A3" s="35" t="s">
        <v>1</v>
      </c>
      <c r="B3" s="35"/>
      <c r="C3" s="35"/>
      <c r="D3" s="35"/>
      <c r="E3" s="35"/>
      <c r="F3" s="35"/>
      <c r="G3" s="35"/>
      <c r="H3" s="35"/>
    </row>
    <row r="4" spans="1:36" ht="18" customHeight="1" x14ac:dyDescent="0.25">
      <c r="A4" s="24" t="s">
        <v>2</v>
      </c>
      <c r="B4" s="25" t="s">
        <v>3</v>
      </c>
      <c r="C4" s="25" t="s">
        <v>4</v>
      </c>
      <c r="D4" s="25" t="s">
        <v>5</v>
      </c>
      <c r="E4" s="30" t="s">
        <v>6</v>
      </c>
      <c r="F4" s="30"/>
      <c r="G4" s="30"/>
      <c r="H4" s="31"/>
    </row>
    <row r="5" spans="1:36" ht="18" customHeight="1" x14ac:dyDescent="0.25">
      <c r="A5" s="17" t="s">
        <v>7</v>
      </c>
      <c r="B5" s="22" t="s">
        <v>8</v>
      </c>
      <c r="C5" s="2" t="s">
        <v>9</v>
      </c>
      <c r="D5" s="23">
        <v>2.5</v>
      </c>
      <c r="E5" s="32" t="s">
        <v>10</v>
      </c>
      <c r="F5" s="32"/>
      <c r="G5" s="32"/>
      <c r="H5" s="33"/>
    </row>
    <row r="6" spans="1:36" ht="18" customHeight="1" x14ac:dyDescent="0.25">
      <c r="A6" s="17" t="s">
        <v>11</v>
      </c>
      <c r="B6" s="22" t="s">
        <v>65</v>
      </c>
      <c r="C6" s="2" t="s">
        <v>12</v>
      </c>
      <c r="D6" s="23">
        <v>2.5</v>
      </c>
      <c r="E6" s="32" t="s">
        <v>13</v>
      </c>
      <c r="F6" s="32"/>
      <c r="G6" s="32"/>
      <c r="H6" s="33"/>
    </row>
    <row r="7" spans="1:36" ht="18" customHeight="1" x14ac:dyDescent="0.25">
      <c r="A7" s="17" t="s">
        <v>14</v>
      </c>
      <c r="B7" s="22" t="s">
        <v>66</v>
      </c>
      <c r="C7" s="2" t="s">
        <v>15</v>
      </c>
      <c r="D7" s="23">
        <v>2.5</v>
      </c>
      <c r="E7" s="32" t="s">
        <v>16</v>
      </c>
      <c r="F7" s="32"/>
      <c r="G7" s="32"/>
      <c r="H7" s="33"/>
    </row>
    <row r="8" spans="1:36" ht="18" customHeight="1" x14ac:dyDescent="0.25">
      <c r="A8" s="17" t="s">
        <v>17</v>
      </c>
      <c r="B8" s="22" t="s">
        <v>67</v>
      </c>
      <c r="C8" s="2" t="s">
        <v>18</v>
      </c>
      <c r="D8" s="23">
        <v>-1</v>
      </c>
      <c r="E8" s="32" t="s">
        <v>19</v>
      </c>
      <c r="F8" s="32"/>
      <c r="G8" s="32"/>
      <c r="H8" s="33"/>
    </row>
    <row r="9" spans="1:36" ht="18" customHeight="1" x14ac:dyDescent="0.25">
      <c r="A9" s="17" t="s">
        <v>20</v>
      </c>
      <c r="B9" s="22" t="s">
        <v>68</v>
      </c>
      <c r="C9" s="2" t="s">
        <v>21</v>
      </c>
      <c r="D9" s="23">
        <v>-2.5</v>
      </c>
      <c r="E9" s="32" t="s">
        <v>22</v>
      </c>
      <c r="F9" s="32"/>
      <c r="G9" s="32"/>
      <c r="H9" s="33"/>
    </row>
    <row r="10" spans="1:36" ht="18" customHeight="1" x14ac:dyDescent="0.25">
      <c r="A10" s="17" t="s">
        <v>23</v>
      </c>
      <c r="B10" s="22" t="s">
        <v>69</v>
      </c>
      <c r="C10" s="2" t="s">
        <v>24</v>
      </c>
      <c r="D10" s="23">
        <v>-2.5</v>
      </c>
      <c r="E10" s="32" t="s">
        <v>25</v>
      </c>
      <c r="F10" s="32"/>
      <c r="G10" s="32"/>
      <c r="H10" s="33"/>
    </row>
    <row r="11" spans="1:36" ht="18" customHeight="1" x14ac:dyDescent="0.25">
      <c r="A11" s="17" t="s">
        <v>26</v>
      </c>
      <c r="B11" s="22" t="s">
        <v>70</v>
      </c>
      <c r="C11" s="2" t="s">
        <v>27</v>
      </c>
      <c r="D11" s="23">
        <v>3.5</v>
      </c>
      <c r="E11" s="32" t="s">
        <v>28</v>
      </c>
      <c r="F11" s="32"/>
      <c r="G11" s="32"/>
      <c r="H11" s="33"/>
    </row>
    <row r="12" spans="1:36" ht="18" customHeight="1" x14ac:dyDescent="0.25">
      <c r="A12" s="17" t="s">
        <v>29</v>
      </c>
      <c r="B12" s="22" t="s">
        <v>72</v>
      </c>
      <c r="C12" s="2" t="s">
        <v>30</v>
      </c>
      <c r="D12" s="23">
        <v>3</v>
      </c>
      <c r="E12" s="32" t="s">
        <v>31</v>
      </c>
      <c r="F12" s="32"/>
      <c r="G12" s="32"/>
      <c r="H12" s="33"/>
    </row>
    <row r="13" spans="1:36" ht="18" customHeight="1" x14ac:dyDescent="0.25">
      <c r="A13" s="17" t="s">
        <v>32</v>
      </c>
      <c r="B13" s="22" t="s">
        <v>73</v>
      </c>
      <c r="C13" s="2" t="s">
        <v>33</v>
      </c>
      <c r="D13" s="23">
        <v>3</v>
      </c>
      <c r="E13" s="32" t="s">
        <v>34</v>
      </c>
      <c r="F13" s="32"/>
      <c r="G13" s="32"/>
      <c r="H13" s="33"/>
    </row>
    <row r="14" spans="1:36" ht="18" customHeight="1" thickBot="1" x14ac:dyDescent="0.3">
      <c r="A14" s="26" t="s">
        <v>35</v>
      </c>
      <c r="B14" s="27" t="s">
        <v>71</v>
      </c>
      <c r="C14" s="20" t="s">
        <v>36</v>
      </c>
      <c r="D14" s="28">
        <v>-4.5</v>
      </c>
      <c r="E14" s="36" t="s">
        <v>37</v>
      </c>
      <c r="F14" s="36"/>
      <c r="G14" s="36"/>
      <c r="H14" s="37"/>
    </row>
    <row r="16" spans="1:36" ht="18" customHeight="1" thickBot="1" x14ac:dyDescent="0.3">
      <c r="A16" s="29" t="s">
        <v>38</v>
      </c>
      <c r="B16" s="29"/>
      <c r="C16" s="29"/>
      <c r="D16" s="29"/>
      <c r="E16" s="29"/>
      <c r="F16" s="29"/>
      <c r="G16" s="29"/>
      <c r="H16" s="29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ht="18" customHeight="1" x14ac:dyDescent="0.25">
      <c r="A17" s="7" t="s">
        <v>39</v>
      </c>
      <c r="B17" s="8" t="s">
        <v>40</v>
      </c>
      <c r="C17" s="8" t="s">
        <v>41</v>
      </c>
      <c r="D17" s="8" t="s">
        <v>42</v>
      </c>
      <c r="E17" s="8" t="s">
        <v>43</v>
      </c>
      <c r="F17" s="8" t="s">
        <v>44</v>
      </c>
      <c r="G17" s="8" t="s">
        <v>45</v>
      </c>
      <c r="H17" s="8" t="s">
        <v>81</v>
      </c>
      <c r="I17" s="8" t="s">
        <v>46</v>
      </c>
      <c r="J17" s="8" t="s">
        <v>47</v>
      </c>
      <c r="K17" s="8" t="s">
        <v>82</v>
      </c>
      <c r="L17" s="8" t="s">
        <v>74</v>
      </c>
      <c r="M17" s="8" t="s">
        <v>75</v>
      </c>
      <c r="N17" s="8" t="s">
        <v>83</v>
      </c>
      <c r="O17" s="8" t="s">
        <v>48</v>
      </c>
      <c r="P17" s="8" t="s">
        <v>49</v>
      </c>
      <c r="Q17" s="8" t="s">
        <v>50</v>
      </c>
      <c r="R17" s="8" t="s">
        <v>51</v>
      </c>
      <c r="S17" s="8" t="s">
        <v>52</v>
      </c>
      <c r="T17" s="8" t="s">
        <v>53</v>
      </c>
      <c r="U17" s="9" t="s">
        <v>63</v>
      </c>
      <c r="V17" s="8" t="s">
        <v>54</v>
      </c>
      <c r="W17" s="8" t="s">
        <v>55</v>
      </c>
      <c r="X17" s="9" t="s">
        <v>64</v>
      </c>
      <c r="Y17" s="8" t="s">
        <v>56</v>
      </c>
      <c r="Z17" s="8" t="s">
        <v>57</v>
      </c>
      <c r="AA17" s="8" t="s">
        <v>58</v>
      </c>
      <c r="AB17" s="8" t="s">
        <v>59</v>
      </c>
      <c r="AC17" s="8" t="s">
        <v>60</v>
      </c>
      <c r="AD17" s="8" t="s">
        <v>76</v>
      </c>
      <c r="AE17" s="8" t="s">
        <v>61</v>
      </c>
      <c r="AF17" s="8" t="s">
        <v>62</v>
      </c>
      <c r="AG17" s="8" t="s">
        <v>77</v>
      </c>
      <c r="AH17" s="8" t="s">
        <v>79</v>
      </c>
      <c r="AI17" s="8" t="s">
        <v>80</v>
      </c>
      <c r="AJ17" s="10" t="s">
        <v>78</v>
      </c>
    </row>
    <row r="18" spans="1:36" ht="18" customHeight="1" x14ac:dyDescent="0.25">
      <c r="A18" s="17">
        <v>1</v>
      </c>
      <c r="B18" s="2">
        <v>1</v>
      </c>
      <c r="C18" s="2">
        <v>0</v>
      </c>
      <c r="D18" s="2">
        <v>0</v>
      </c>
      <c r="E18" s="2">
        <v>0</v>
      </c>
      <c r="F18" s="3">
        <f>$D$6</f>
        <v>2.5</v>
      </c>
      <c r="G18" s="3">
        <f>$D$7</f>
        <v>2.5</v>
      </c>
      <c r="H18" s="3">
        <f>$D$8</f>
        <v>-1</v>
      </c>
      <c r="I18" s="3">
        <f>$D$9</f>
        <v>-2.5</v>
      </c>
      <c r="J18" s="3">
        <f>$D$10</f>
        <v>-2.5</v>
      </c>
      <c r="K18" s="3">
        <f>$D$11</f>
        <v>3.5</v>
      </c>
      <c r="L18" s="3">
        <f>$D$12</f>
        <v>3</v>
      </c>
      <c r="M18" s="3">
        <f>$D$13</f>
        <v>3</v>
      </c>
      <c r="N18" s="3">
        <f>$D$14</f>
        <v>-4.5</v>
      </c>
      <c r="O18" s="3">
        <f t="shared" ref="O18:O81" si="0">F18*C18+G18*D18+H18</f>
        <v>-1</v>
      </c>
      <c r="P18" s="3">
        <f t="shared" ref="P18:P81" si="1">1/(1+EXP(-O18))</f>
        <v>0.2689414213699951</v>
      </c>
      <c r="Q18" s="3">
        <f t="shared" ref="Q18:Q81" si="2">I18*C18+J18*D18+K18</f>
        <v>3.5</v>
      </c>
      <c r="R18" s="3">
        <f t="shared" ref="R18:R81" si="3">1/(1+EXP(-Q18))</f>
        <v>0.97068776924864364</v>
      </c>
      <c r="S18" s="3">
        <f t="shared" ref="S18:S81" si="4">L18*P18+M18*R18+N18</f>
        <v>-0.78111242814408399</v>
      </c>
      <c r="T18" s="4">
        <f t="shared" ref="T18:T81" si="5">1/(1+EXP(-S18))</f>
        <v>0.31408018186434139</v>
      </c>
      <c r="U18" s="1">
        <f t="shared" ref="U18:U49" si="6">IF(T18&gt;=0.5, 1, 0)</f>
        <v>0</v>
      </c>
      <c r="V18" s="3">
        <f t="shared" ref="V18:V81" si="7">E18-T18</f>
        <v>-0.31408018186434139</v>
      </c>
      <c r="W18" s="3">
        <f t="shared" ref="W18:W49" si="8">0.5*(V18^2)</f>
        <v>4.9323180319968879E-2</v>
      </c>
      <c r="X18" s="5" t="str">
        <f>IF(U18=E18, "PASS", "FAIL")</f>
        <v>PASS</v>
      </c>
      <c r="Y18" s="3">
        <f t="shared" ref="Y18:Y49" si="9">V18*T18*(1-T18)</f>
        <v>-6.7663493749890696E-2</v>
      </c>
      <c r="Z18" s="3">
        <f t="shared" ref="Z18:Z49" si="10">Y18*L18*P18*(1-P18)</f>
        <v>-3.9910350948116805E-2</v>
      </c>
      <c r="AA18" s="3">
        <f t="shared" ref="AA18:AA49" si="11">Y18*M18*R18*(1-R18)</f>
        <v>-5.7756930103559411E-3</v>
      </c>
      <c r="AB18" s="3">
        <f t="shared" ref="AB18:AB49" si="12">F18+$D$5*Z18*C18</f>
        <v>2.5</v>
      </c>
      <c r="AC18" s="3">
        <f t="shared" ref="AC18:AC49" si="13">G18+$D$5*Z18*D18</f>
        <v>2.5</v>
      </c>
      <c r="AD18" s="3">
        <f t="shared" ref="AD18:AD49" si="14">H18+$D$5*Z18</f>
        <v>-1.0997758773702919</v>
      </c>
      <c r="AE18" s="3">
        <f t="shared" ref="AE18:AE49" si="15">I18+$D$5*AA18*C18</f>
        <v>-2.5</v>
      </c>
      <c r="AF18" s="3">
        <f t="shared" ref="AF18:AF49" si="16">J18+$D$5*AA18*D18</f>
        <v>-2.5</v>
      </c>
      <c r="AG18" s="3">
        <f t="shared" ref="AG18:AG49" si="17">K18+$D$5*AA18</f>
        <v>3.48556076747411</v>
      </c>
      <c r="AH18" s="3">
        <f t="shared" ref="AH18:AH49" si="18">L18+$D$5*Y18*P18</f>
        <v>2.9545062095401113</v>
      </c>
      <c r="AI18" s="3">
        <f t="shared" ref="AI18:AI49" si="19">M18+$D$5*Y18*R18</f>
        <v>2.8357996854808727</v>
      </c>
      <c r="AJ18" s="11">
        <f t="shared" ref="AJ18:AJ49" si="20">N18+$D$5*Y18</f>
        <v>-4.6691587343747267</v>
      </c>
    </row>
    <row r="19" spans="1:36" ht="18" customHeight="1" x14ac:dyDescent="0.25">
      <c r="A19" s="17">
        <v>1</v>
      </c>
      <c r="B19" s="2">
        <v>2</v>
      </c>
      <c r="C19" s="2">
        <v>0</v>
      </c>
      <c r="D19" s="2">
        <v>1</v>
      </c>
      <c r="E19" s="2">
        <v>1</v>
      </c>
      <c r="F19" s="3">
        <f t="shared" ref="F19:N47" si="21">AB18</f>
        <v>2.5</v>
      </c>
      <c r="G19" s="3">
        <f t="shared" si="21"/>
        <v>2.5</v>
      </c>
      <c r="H19" s="3">
        <f t="shared" si="21"/>
        <v>-1.0997758773702919</v>
      </c>
      <c r="I19" s="3">
        <f t="shared" si="21"/>
        <v>-2.5</v>
      </c>
      <c r="J19" s="3">
        <f t="shared" si="21"/>
        <v>-2.5</v>
      </c>
      <c r="K19" s="3">
        <f t="shared" si="21"/>
        <v>3.48556076747411</v>
      </c>
      <c r="L19" s="3">
        <f t="shared" si="21"/>
        <v>2.9545062095401113</v>
      </c>
      <c r="M19" s="3">
        <f t="shared" si="21"/>
        <v>2.8357996854808727</v>
      </c>
      <c r="N19" s="3">
        <f t="shared" si="21"/>
        <v>-4.6691587343747267</v>
      </c>
      <c r="O19" s="3">
        <f t="shared" si="0"/>
        <v>1.4002241226297081</v>
      </c>
      <c r="P19" s="3">
        <f t="shared" si="1"/>
        <v>0.80221945102644199</v>
      </c>
      <c r="Q19" s="3">
        <f t="shared" si="2"/>
        <v>0.98556076747411003</v>
      </c>
      <c r="R19" s="3">
        <f t="shared" si="3"/>
        <v>0.72821019962573852</v>
      </c>
      <c r="S19" s="3">
        <f t="shared" si="4"/>
        <v>-0.23393812984061224</v>
      </c>
      <c r="T19" s="4">
        <f t="shared" si="5"/>
        <v>0.44178073969896431</v>
      </c>
      <c r="U19" s="1">
        <f t="shared" si="6"/>
        <v>0</v>
      </c>
      <c r="V19" s="3">
        <f t="shared" si="7"/>
        <v>0.55821926030103564</v>
      </c>
      <c r="W19" s="3">
        <f t="shared" si="8"/>
        <v>0.15580437128551769</v>
      </c>
      <c r="X19" s="5" t="str">
        <f t="shared" ref="X19:X82" si="22">IF(U19=E19, "PASS", "FAIL")</f>
        <v>FAIL</v>
      </c>
      <c r="Y19" s="3">
        <f t="shared" si="9"/>
        <v>0.13766274078969615</v>
      </c>
      <c r="Z19" s="3">
        <f t="shared" si="10"/>
        <v>6.4532439789500753E-2</v>
      </c>
      <c r="AA19" s="3">
        <f t="shared" si="11"/>
        <v>7.7264833683218681E-2</v>
      </c>
      <c r="AB19" s="3">
        <f t="shared" si="12"/>
        <v>2.5</v>
      </c>
      <c r="AC19" s="3">
        <f t="shared" si="13"/>
        <v>2.661331099473752</v>
      </c>
      <c r="AD19" s="3">
        <f t="shared" si="14"/>
        <v>-0.93844477789654002</v>
      </c>
      <c r="AE19" s="3">
        <f t="shared" si="15"/>
        <v>-2.5</v>
      </c>
      <c r="AF19" s="3">
        <f t="shared" si="16"/>
        <v>-2.3068379157919532</v>
      </c>
      <c r="AG19" s="3">
        <f t="shared" si="17"/>
        <v>3.6787228516821568</v>
      </c>
      <c r="AH19" s="3">
        <f t="shared" si="18"/>
        <v>3.2305955303978751</v>
      </c>
      <c r="AI19" s="3">
        <f t="shared" si="19"/>
        <v>3.0864182153596</v>
      </c>
      <c r="AJ19" s="11">
        <f t="shared" si="20"/>
        <v>-4.3250018824004863</v>
      </c>
    </row>
    <row r="20" spans="1:36" ht="18" customHeight="1" x14ac:dyDescent="0.25">
      <c r="A20" s="17">
        <v>1</v>
      </c>
      <c r="B20" s="2">
        <v>3</v>
      </c>
      <c r="C20" s="2">
        <v>1</v>
      </c>
      <c r="D20" s="2">
        <v>0</v>
      </c>
      <c r="E20" s="2">
        <v>1</v>
      </c>
      <c r="F20" s="3">
        <f t="shared" si="21"/>
        <v>2.5</v>
      </c>
      <c r="G20" s="3">
        <f t="shared" si="21"/>
        <v>2.661331099473752</v>
      </c>
      <c r="H20" s="3">
        <f t="shared" si="21"/>
        <v>-0.93844477789654002</v>
      </c>
      <c r="I20" s="3">
        <f t="shared" si="21"/>
        <v>-2.5</v>
      </c>
      <c r="J20" s="3">
        <f t="shared" si="21"/>
        <v>-2.3068379157919532</v>
      </c>
      <c r="K20" s="3">
        <f t="shared" si="21"/>
        <v>3.6787228516821568</v>
      </c>
      <c r="L20" s="3">
        <f t="shared" si="21"/>
        <v>3.2305955303978751</v>
      </c>
      <c r="M20" s="3">
        <f t="shared" si="21"/>
        <v>3.0864182153596</v>
      </c>
      <c r="N20" s="3">
        <f t="shared" si="21"/>
        <v>-4.3250018824004863</v>
      </c>
      <c r="O20" s="3">
        <f t="shared" si="0"/>
        <v>1.5615552221034599</v>
      </c>
      <c r="P20" s="3">
        <f t="shared" si="1"/>
        <v>0.82657640397186427</v>
      </c>
      <c r="Q20" s="3">
        <f t="shared" si="2"/>
        <v>1.1787228516821568</v>
      </c>
      <c r="R20" s="3">
        <f t="shared" si="3"/>
        <v>0.76471809139906166</v>
      </c>
      <c r="S20" s="3">
        <f t="shared" si="4"/>
        <v>0.70557200071245862</v>
      </c>
      <c r="T20" s="4">
        <f t="shared" si="5"/>
        <v>0.6694219966188043</v>
      </c>
      <c r="U20" s="1">
        <f t="shared" si="6"/>
        <v>1</v>
      </c>
      <c r="V20" s="3">
        <f t="shared" si="7"/>
        <v>0.3305780033811957</v>
      </c>
      <c r="W20" s="3">
        <f t="shared" si="8"/>
        <v>5.4640908159748917E-2</v>
      </c>
      <c r="X20" s="5" t="str">
        <f t="shared" si="22"/>
        <v>PASS</v>
      </c>
      <c r="Y20" s="3">
        <f t="shared" si="9"/>
        <v>7.3155651674727679E-2</v>
      </c>
      <c r="Z20" s="3">
        <f t="shared" si="10"/>
        <v>3.387830409849911E-2</v>
      </c>
      <c r="AA20" s="3">
        <f t="shared" si="11"/>
        <v>4.0624923481594535E-2</v>
      </c>
      <c r="AB20" s="3">
        <f t="shared" si="12"/>
        <v>2.5846957602462477</v>
      </c>
      <c r="AC20" s="3">
        <f t="shared" si="13"/>
        <v>2.661331099473752</v>
      </c>
      <c r="AD20" s="3">
        <f t="shared" si="14"/>
        <v>-0.85374901765029221</v>
      </c>
      <c r="AE20" s="3">
        <f t="shared" si="15"/>
        <v>-2.3984376912960137</v>
      </c>
      <c r="AF20" s="3">
        <f t="shared" si="16"/>
        <v>-2.3068379157919532</v>
      </c>
      <c r="AG20" s="3">
        <f t="shared" si="17"/>
        <v>3.7802851603861432</v>
      </c>
      <c r="AH20" s="3">
        <f t="shared" si="18"/>
        <v>3.3817673691266616</v>
      </c>
      <c r="AI20" s="3">
        <f t="shared" si="19"/>
        <v>3.2262768411689811</v>
      </c>
      <c r="AJ20" s="11">
        <f t="shared" si="20"/>
        <v>-4.1421127532136675</v>
      </c>
    </row>
    <row r="21" spans="1:36" ht="18" customHeight="1" x14ac:dyDescent="0.25">
      <c r="A21" s="17">
        <v>1</v>
      </c>
      <c r="B21" s="2">
        <v>4</v>
      </c>
      <c r="C21" s="2">
        <v>1</v>
      </c>
      <c r="D21" s="2">
        <v>1</v>
      </c>
      <c r="E21" s="2">
        <v>0</v>
      </c>
      <c r="F21" s="3">
        <f t="shared" si="21"/>
        <v>2.5846957602462477</v>
      </c>
      <c r="G21" s="3">
        <f t="shared" si="21"/>
        <v>2.661331099473752</v>
      </c>
      <c r="H21" s="3">
        <f t="shared" si="21"/>
        <v>-0.85374901765029221</v>
      </c>
      <c r="I21" s="3">
        <f t="shared" si="21"/>
        <v>-2.3984376912960137</v>
      </c>
      <c r="J21" s="3">
        <f t="shared" si="21"/>
        <v>-2.3068379157919532</v>
      </c>
      <c r="K21" s="3">
        <f t="shared" si="21"/>
        <v>3.7802851603861432</v>
      </c>
      <c r="L21" s="3">
        <f t="shared" si="21"/>
        <v>3.3817673691266616</v>
      </c>
      <c r="M21" s="3">
        <f t="shared" si="21"/>
        <v>3.2262768411689811</v>
      </c>
      <c r="N21" s="3">
        <f t="shared" si="21"/>
        <v>-4.1421127532136675</v>
      </c>
      <c r="O21" s="3">
        <f t="shared" si="0"/>
        <v>4.3922778420697073</v>
      </c>
      <c r="P21" s="3">
        <f t="shared" si="1"/>
        <v>0.98777869382313721</v>
      </c>
      <c r="Q21" s="3">
        <f t="shared" si="2"/>
        <v>-0.92499044670182373</v>
      </c>
      <c r="R21" s="3">
        <f t="shared" si="3"/>
        <v>0.283942148547359</v>
      </c>
      <c r="S21" s="3">
        <f t="shared" si="4"/>
        <v>0.11440097956608053</v>
      </c>
      <c r="T21" s="4">
        <f t="shared" si="5"/>
        <v>0.52856909331818258</v>
      </c>
      <c r="U21" s="1">
        <f t="shared" si="6"/>
        <v>1</v>
      </c>
      <c r="V21" s="3">
        <f t="shared" si="7"/>
        <v>-0.52856909331818258</v>
      </c>
      <c r="W21" s="3">
        <f t="shared" si="8"/>
        <v>0.13969264320560279</v>
      </c>
      <c r="X21" s="5" t="str">
        <f t="shared" si="22"/>
        <v>FAIL</v>
      </c>
      <c r="Y21" s="3">
        <f t="shared" si="9"/>
        <v>-0.13171085888639389</v>
      </c>
      <c r="Z21" s="3">
        <f t="shared" si="10"/>
        <v>-5.3770316135300549E-3</v>
      </c>
      <c r="AA21" s="3">
        <f t="shared" si="11"/>
        <v>-8.639750236930345E-2</v>
      </c>
      <c r="AB21" s="3">
        <f t="shared" si="12"/>
        <v>2.5712531812124224</v>
      </c>
      <c r="AC21" s="3">
        <f t="shared" si="13"/>
        <v>2.6478885204399267</v>
      </c>
      <c r="AD21" s="3">
        <f t="shared" si="14"/>
        <v>-0.86719159668411738</v>
      </c>
      <c r="AE21" s="3">
        <f t="shared" si="15"/>
        <v>-2.6144314472192725</v>
      </c>
      <c r="AF21" s="3">
        <f t="shared" si="16"/>
        <v>-2.5228316717152119</v>
      </c>
      <c r="AG21" s="3">
        <f t="shared" si="17"/>
        <v>3.5642914044628844</v>
      </c>
      <c r="AH21" s="3">
        <f t="shared" si="18"/>
        <v>3.0565144187438475</v>
      </c>
      <c r="AI21" s="3">
        <f t="shared" si="19"/>
        <v>3.1327811805209294</v>
      </c>
      <c r="AJ21" s="11">
        <f t="shared" si="20"/>
        <v>-4.471389900429652</v>
      </c>
    </row>
    <row r="22" spans="1:36" ht="18" customHeight="1" x14ac:dyDescent="0.25">
      <c r="A22" s="17">
        <v>2</v>
      </c>
      <c r="B22" s="2">
        <v>5</v>
      </c>
      <c r="C22" s="2">
        <v>0</v>
      </c>
      <c r="D22" s="2">
        <v>0</v>
      </c>
      <c r="E22" s="2">
        <v>0</v>
      </c>
      <c r="F22" s="3">
        <f t="shared" si="21"/>
        <v>2.5712531812124224</v>
      </c>
      <c r="G22" s="3">
        <f t="shared" si="21"/>
        <v>2.6478885204399267</v>
      </c>
      <c r="H22" s="3">
        <f t="shared" si="21"/>
        <v>-0.86719159668411738</v>
      </c>
      <c r="I22" s="3">
        <f t="shared" si="21"/>
        <v>-2.6144314472192725</v>
      </c>
      <c r="J22" s="3">
        <f t="shared" si="21"/>
        <v>-2.5228316717152119</v>
      </c>
      <c r="K22" s="3">
        <f t="shared" si="21"/>
        <v>3.5642914044628844</v>
      </c>
      <c r="L22" s="3">
        <f t="shared" si="21"/>
        <v>3.0565144187438475</v>
      </c>
      <c r="M22" s="3">
        <f t="shared" si="21"/>
        <v>3.1327811805209294</v>
      </c>
      <c r="N22" s="3">
        <f t="shared" si="21"/>
        <v>-4.471389900429652</v>
      </c>
      <c r="O22" s="3">
        <f t="shared" si="0"/>
        <v>-0.86719159668411738</v>
      </c>
      <c r="P22" s="3">
        <f t="shared" si="1"/>
        <v>0.2958390081414658</v>
      </c>
      <c r="Q22" s="3">
        <f t="shared" si="2"/>
        <v>3.5642914044628844</v>
      </c>
      <c r="R22" s="3">
        <f t="shared" si="3"/>
        <v>0.97246273036041175</v>
      </c>
      <c r="S22" s="3">
        <f t="shared" si="4"/>
        <v>-0.52064076598728626</v>
      </c>
      <c r="T22" s="4">
        <f t="shared" si="5"/>
        <v>0.37270241337950505</v>
      </c>
      <c r="U22" s="1">
        <f t="shared" si="6"/>
        <v>0</v>
      </c>
      <c r="V22" s="3">
        <f t="shared" si="7"/>
        <v>-0.37270241337950505</v>
      </c>
      <c r="W22" s="3">
        <f t="shared" si="8"/>
        <v>6.9453544469453732E-2</v>
      </c>
      <c r="X22" s="5" t="str">
        <f t="shared" si="22"/>
        <v>PASS</v>
      </c>
      <c r="Y22" s="3">
        <f t="shared" si="9"/>
        <v>-8.7136081655855097E-2</v>
      </c>
      <c r="Z22" s="3">
        <f t="shared" si="10"/>
        <v>-5.5481970387565797E-2</v>
      </c>
      <c r="AA22" s="3">
        <f t="shared" si="11"/>
        <v>-7.310076652694588E-3</v>
      </c>
      <c r="AB22" s="3">
        <f t="shared" si="12"/>
        <v>2.5712531812124224</v>
      </c>
      <c r="AC22" s="3">
        <f t="shared" si="13"/>
        <v>2.6478885204399267</v>
      </c>
      <c r="AD22" s="3">
        <f t="shared" si="14"/>
        <v>-1.0058965226530319</v>
      </c>
      <c r="AE22" s="3">
        <f t="shared" si="15"/>
        <v>-2.6144314472192725</v>
      </c>
      <c r="AF22" s="3">
        <f t="shared" si="16"/>
        <v>-2.5228316717152119</v>
      </c>
      <c r="AG22" s="3">
        <f t="shared" si="17"/>
        <v>3.5460162128311481</v>
      </c>
      <c r="AH22" s="3">
        <f t="shared" si="18"/>
        <v>2.9920687888178428</v>
      </c>
      <c r="AI22" s="3">
        <f t="shared" si="19"/>
        <v>2.9209397008210276</v>
      </c>
      <c r="AJ22" s="11">
        <f t="shared" si="20"/>
        <v>-4.6892301045692895</v>
      </c>
    </row>
    <row r="23" spans="1:36" ht="18" customHeight="1" x14ac:dyDescent="0.25">
      <c r="A23" s="17">
        <v>2</v>
      </c>
      <c r="B23" s="2">
        <v>6</v>
      </c>
      <c r="C23" s="2">
        <v>0</v>
      </c>
      <c r="D23" s="2">
        <v>1</v>
      </c>
      <c r="E23" s="2">
        <v>1</v>
      </c>
      <c r="F23" s="3">
        <f t="shared" si="21"/>
        <v>2.5712531812124224</v>
      </c>
      <c r="G23" s="3">
        <f t="shared" si="21"/>
        <v>2.6478885204399267</v>
      </c>
      <c r="H23" s="3">
        <f t="shared" si="21"/>
        <v>-1.0058965226530319</v>
      </c>
      <c r="I23" s="3">
        <f t="shared" si="21"/>
        <v>-2.6144314472192725</v>
      </c>
      <c r="J23" s="3">
        <f t="shared" si="21"/>
        <v>-2.5228316717152119</v>
      </c>
      <c r="K23" s="3">
        <f t="shared" si="21"/>
        <v>3.5460162128311481</v>
      </c>
      <c r="L23" s="3">
        <f t="shared" si="21"/>
        <v>2.9920687888178428</v>
      </c>
      <c r="M23" s="3">
        <f t="shared" si="21"/>
        <v>2.9209397008210276</v>
      </c>
      <c r="N23" s="3">
        <f t="shared" si="21"/>
        <v>-4.6892301045692895</v>
      </c>
      <c r="O23" s="3">
        <f t="shared" si="0"/>
        <v>1.6419919977868949</v>
      </c>
      <c r="P23" s="3">
        <f t="shared" si="1"/>
        <v>0.8378058066752625</v>
      </c>
      <c r="Q23" s="3">
        <f t="shared" si="2"/>
        <v>1.0231845411159362</v>
      </c>
      <c r="R23" s="3">
        <f t="shared" si="3"/>
        <v>0.73559244512941335</v>
      </c>
      <c r="S23" s="3">
        <f t="shared" si="4"/>
        <v>-3.3836322723364454E-2</v>
      </c>
      <c r="T23" s="4">
        <f t="shared" si="5"/>
        <v>0.49154172629125714</v>
      </c>
      <c r="U23" s="1">
        <f t="shared" si="6"/>
        <v>0</v>
      </c>
      <c r="V23" s="3">
        <f t="shared" si="7"/>
        <v>0.50845827370874286</v>
      </c>
      <c r="W23" s="3">
        <f t="shared" si="8"/>
        <v>0.12926490805143742</v>
      </c>
      <c r="X23" s="5" t="str">
        <f t="shared" si="22"/>
        <v>FAIL</v>
      </c>
      <c r="Y23" s="3">
        <f t="shared" si="9"/>
        <v>0.12707819210496837</v>
      </c>
      <c r="Z23" s="3">
        <f t="shared" si="10"/>
        <v>5.1667954646334925E-2</v>
      </c>
      <c r="AA23" s="3">
        <f t="shared" si="11"/>
        <v>7.2194604146839883E-2</v>
      </c>
      <c r="AB23" s="3">
        <f t="shared" si="12"/>
        <v>2.5712531812124224</v>
      </c>
      <c r="AC23" s="3">
        <f t="shared" si="13"/>
        <v>2.777058407055764</v>
      </c>
      <c r="AD23" s="3">
        <f t="shared" si="14"/>
        <v>-0.87672663603719458</v>
      </c>
      <c r="AE23" s="3">
        <f t="shared" si="15"/>
        <v>-2.6144314472192725</v>
      </c>
      <c r="AF23" s="3">
        <f t="shared" si="16"/>
        <v>-2.3423451613481121</v>
      </c>
      <c r="AG23" s="3">
        <f t="shared" si="17"/>
        <v>3.7265027231982479</v>
      </c>
      <c r="AH23" s="3">
        <f t="shared" si="18"/>
        <v>3.2582359069361853</v>
      </c>
      <c r="AI23" s="3">
        <f t="shared" si="19"/>
        <v>3.154634095953825</v>
      </c>
      <c r="AJ23" s="11">
        <f t="shared" si="20"/>
        <v>-4.3715346243068689</v>
      </c>
    </row>
    <row r="24" spans="1:36" ht="18" customHeight="1" x14ac:dyDescent="0.25">
      <c r="A24" s="17">
        <v>2</v>
      </c>
      <c r="B24" s="2">
        <v>7</v>
      </c>
      <c r="C24" s="2">
        <v>1</v>
      </c>
      <c r="D24" s="2">
        <v>0</v>
      </c>
      <c r="E24" s="2">
        <v>1</v>
      </c>
      <c r="F24" s="3">
        <f t="shared" si="21"/>
        <v>2.5712531812124224</v>
      </c>
      <c r="G24" s="3">
        <f t="shared" si="21"/>
        <v>2.777058407055764</v>
      </c>
      <c r="H24" s="3">
        <f t="shared" si="21"/>
        <v>-0.87672663603719458</v>
      </c>
      <c r="I24" s="3">
        <f t="shared" si="21"/>
        <v>-2.6144314472192725</v>
      </c>
      <c r="J24" s="3">
        <f t="shared" si="21"/>
        <v>-2.3423451613481121</v>
      </c>
      <c r="K24" s="3">
        <f t="shared" si="21"/>
        <v>3.7265027231982479</v>
      </c>
      <c r="L24" s="3">
        <f t="shared" si="21"/>
        <v>3.2582359069361853</v>
      </c>
      <c r="M24" s="3">
        <f t="shared" si="21"/>
        <v>3.154634095953825</v>
      </c>
      <c r="N24" s="3">
        <f t="shared" si="21"/>
        <v>-4.3715346243068689</v>
      </c>
      <c r="O24" s="3">
        <f t="shared" si="0"/>
        <v>1.6945265451752278</v>
      </c>
      <c r="P24" s="3">
        <f t="shared" si="1"/>
        <v>0.84481851748902093</v>
      </c>
      <c r="Q24" s="3">
        <f t="shared" si="2"/>
        <v>1.1120712759789755</v>
      </c>
      <c r="R24" s="3">
        <f t="shared" si="3"/>
        <v>0.75251505961630205</v>
      </c>
      <c r="S24" s="3">
        <f t="shared" si="4"/>
        <v>0.75499306900476615</v>
      </c>
      <c r="T24" s="4">
        <f t="shared" si="5"/>
        <v>0.68026568917939489</v>
      </c>
      <c r="U24" s="1">
        <f t="shared" si="6"/>
        <v>1</v>
      </c>
      <c r="V24" s="3">
        <f t="shared" si="7"/>
        <v>0.31973431082060511</v>
      </c>
      <c r="W24" s="3">
        <f t="shared" si="8"/>
        <v>5.1115014757963657E-2</v>
      </c>
      <c r="X24" s="5" t="str">
        <f t="shared" si="22"/>
        <v>PASS</v>
      </c>
      <c r="Y24" s="3">
        <f t="shared" si="9"/>
        <v>6.9543581483482178E-2</v>
      </c>
      <c r="Z24" s="3">
        <f t="shared" si="10"/>
        <v>2.9705912642181417E-2</v>
      </c>
      <c r="AA24" s="3">
        <f t="shared" si="11"/>
        <v>4.0857333406550872E-2</v>
      </c>
      <c r="AB24" s="3">
        <f t="shared" si="12"/>
        <v>2.645517962817876</v>
      </c>
      <c r="AC24" s="3">
        <f t="shared" si="13"/>
        <v>2.777058407055764</v>
      </c>
      <c r="AD24" s="3">
        <f t="shared" si="14"/>
        <v>-0.80246185443174101</v>
      </c>
      <c r="AE24" s="3">
        <f t="shared" si="15"/>
        <v>-2.5122881137028954</v>
      </c>
      <c r="AF24" s="3">
        <f t="shared" si="16"/>
        <v>-2.3423451613481121</v>
      </c>
      <c r="AG24" s="3">
        <f t="shared" si="17"/>
        <v>3.828646056714625</v>
      </c>
      <c r="AH24" s="3">
        <f t="shared" si="18"/>
        <v>3.405115170460566</v>
      </c>
      <c r="AI24" s="3">
        <f t="shared" si="19"/>
        <v>3.2854655768687593</v>
      </c>
      <c r="AJ24" s="11">
        <f t="shared" si="20"/>
        <v>-4.197675670598163</v>
      </c>
    </row>
    <row r="25" spans="1:36" ht="18" customHeight="1" x14ac:dyDescent="0.25">
      <c r="A25" s="17">
        <v>2</v>
      </c>
      <c r="B25" s="2">
        <v>8</v>
      </c>
      <c r="C25" s="2">
        <v>1</v>
      </c>
      <c r="D25" s="2">
        <v>1</v>
      </c>
      <c r="E25" s="2">
        <v>0</v>
      </c>
      <c r="F25" s="3">
        <f t="shared" si="21"/>
        <v>2.645517962817876</v>
      </c>
      <c r="G25" s="3">
        <f t="shared" si="21"/>
        <v>2.777058407055764</v>
      </c>
      <c r="H25" s="3">
        <f t="shared" si="21"/>
        <v>-0.80246185443174101</v>
      </c>
      <c r="I25" s="3">
        <f t="shared" si="21"/>
        <v>-2.5122881137028954</v>
      </c>
      <c r="J25" s="3">
        <f t="shared" si="21"/>
        <v>-2.3423451613481121</v>
      </c>
      <c r="K25" s="3">
        <f t="shared" si="21"/>
        <v>3.828646056714625</v>
      </c>
      <c r="L25" s="3">
        <f t="shared" si="21"/>
        <v>3.405115170460566</v>
      </c>
      <c r="M25" s="3">
        <f t="shared" si="21"/>
        <v>3.2854655768687593</v>
      </c>
      <c r="N25" s="3">
        <f t="shared" si="21"/>
        <v>-4.197675670598163</v>
      </c>
      <c r="O25" s="3">
        <f t="shared" si="0"/>
        <v>4.6201145154418999</v>
      </c>
      <c r="P25" s="3">
        <f t="shared" si="1"/>
        <v>0.99024444070119932</v>
      </c>
      <c r="Q25" s="3">
        <f t="shared" si="2"/>
        <v>-1.0259872183363825</v>
      </c>
      <c r="R25" s="3">
        <f t="shared" si="3"/>
        <v>0.26386280485129482</v>
      </c>
      <c r="S25" s="3">
        <f t="shared" si="4"/>
        <v>4.1132859252697607E-2</v>
      </c>
      <c r="T25" s="4">
        <f t="shared" si="5"/>
        <v>0.51028176520046276</v>
      </c>
      <c r="U25" s="1">
        <f t="shared" si="6"/>
        <v>1</v>
      </c>
      <c r="V25" s="3">
        <f t="shared" si="7"/>
        <v>-0.51028176520046276</v>
      </c>
      <c r="W25" s="3">
        <f t="shared" si="8"/>
        <v>0.13019373994805011</v>
      </c>
      <c r="X25" s="5" t="str">
        <f t="shared" si="22"/>
        <v>FAIL</v>
      </c>
      <c r="Y25" s="3">
        <f t="shared" si="9"/>
        <v>-0.1275164970186182</v>
      </c>
      <c r="Z25" s="3">
        <f t="shared" si="10"/>
        <v>-4.1946213727760053E-3</v>
      </c>
      <c r="AA25" s="3">
        <f t="shared" si="11"/>
        <v>-8.1376729514755011E-2</v>
      </c>
      <c r="AB25" s="3">
        <f t="shared" si="12"/>
        <v>2.6350314093859359</v>
      </c>
      <c r="AC25" s="3">
        <f t="shared" si="13"/>
        <v>2.766571853623824</v>
      </c>
      <c r="AD25" s="3">
        <f t="shared" si="14"/>
        <v>-0.81294840786368106</v>
      </c>
      <c r="AE25" s="3">
        <f t="shared" si="15"/>
        <v>-2.7157299374897828</v>
      </c>
      <c r="AF25" s="3">
        <f t="shared" si="16"/>
        <v>-2.5457869851349995</v>
      </c>
      <c r="AG25" s="3">
        <f t="shared" si="17"/>
        <v>3.6252042329277376</v>
      </c>
      <c r="AH25" s="3">
        <f t="shared" si="18"/>
        <v>3.0894339147846215</v>
      </c>
      <c r="AI25" s="3">
        <f t="shared" si="19"/>
        <v>3.2013484254483981</v>
      </c>
      <c r="AJ25" s="11">
        <f t="shared" si="20"/>
        <v>-4.5164669131447086</v>
      </c>
    </row>
    <row r="26" spans="1:36" ht="18" customHeight="1" x14ac:dyDescent="0.25">
      <c r="A26" s="17">
        <v>3</v>
      </c>
      <c r="B26" s="2">
        <v>9</v>
      </c>
      <c r="C26" s="2">
        <v>0</v>
      </c>
      <c r="D26" s="2">
        <v>0</v>
      </c>
      <c r="E26" s="2">
        <v>0</v>
      </c>
      <c r="F26" s="3">
        <f t="shared" si="21"/>
        <v>2.6350314093859359</v>
      </c>
      <c r="G26" s="3">
        <f t="shared" si="21"/>
        <v>2.766571853623824</v>
      </c>
      <c r="H26" s="3">
        <f t="shared" si="21"/>
        <v>-0.81294840786368106</v>
      </c>
      <c r="I26" s="3">
        <f t="shared" si="21"/>
        <v>-2.7157299374897828</v>
      </c>
      <c r="J26" s="3">
        <f t="shared" si="21"/>
        <v>-2.5457869851349995</v>
      </c>
      <c r="K26" s="3">
        <f t="shared" si="21"/>
        <v>3.6252042329277376</v>
      </c>
      <c r="L26" s="3">
        <f t="shared" si="21"/>
        <v>3.0894339147846215</v>
      </c>
      <c r="M26" s="3">
        <f t="shared" si="21"/>
        <v>3.2013484254483981</v>
      </c>
      <c r="N26" s="3">
        <f t="shared" si="21"/>
        <v>-4.5164669131447086</v>
      </c>
      <c r="O26" s="3">
        <f t="shared" si="0"/>
        <v>-0.81294840786368106</v>
      </c>
      <c r="P26" s="3">
        <f t="shared" si="1"/>
        <v>0.30726256398085566</v>
      </c>
      <c r="Q26" s="3">
        <f t="shared" si="2"/>
        <v>3.6252042329277376</v>
      </c>
      <c r="R26" s="3">
        <f t="shared" si="3"/>
        <v>0.97404780604040342</v>
      </c>
      <c r="S26" s="3">
        <f t="shared" si="4"/>
        <v>-0.44893311705966088</v>
      </c>
      <c r="T26" s="4">
        <f t="shared" si="5"/>
        <v>0.38961445695040486</v>
      </c>
      <c r="U26" s="1">
        <f t="shared" si="6"/>
        <v>0</v>
      </c>
      <c r="V26" s="3">
        <f t="shared" si="7"/>
        <v>-0.38961445695040486</v>
      </c>
      <c r="W26" s="3">
        <f t="shared" si="8"/>
        <v>7.589971253237944E-2</v>
      </c>
      <c r="X26" s="5" t="str">
        <f t="shared" si="22"/>
        <v>PASS</v>
      </c>
      <c r="Y26" s="3">
        <f t="shared" si="9"/>
        <v>-9.2656174502769167E-2</v>
      </c>
      <c r="Z26" s="3">
        <f t="shared" si="10"/>
        <v>-6.0930056856742597E-2</v>
      </c>
      <c r="AA26" s="3">
        <f t="shared" si="11"/>
        <v>-7.4982801143739812E-3</v>
      </c>
      <c r="AB26" s="3">
        <f t="shared" si="12"/>
        <v>2.6350314093859359</v>
      </c>
      <c r="AC26" s="3">
        <f t="shared" si="13"/>
        <v>2.766571853623824</v>
      </c>
      <c r="AD26" s="3">
        <f t="shared" si="14"/>
        <v>-0.96527355000553761</v>
      </c>
      <c r="AE26" s="3">
        <f t="shared" si="15"/>
        <v>-2.7157299374897828</v>
      </c>
      <c r="AF26" s="3">
        <f t="shared" si="16"/>
        <v>-2.5457869851349995</v>
      </c>
      <c r="AG26" s="3">
        <f t="shared" si="17"/>
        <v>3.6064585326418026</v>
      </c>
      <c r="AH26" s="3">
        <f t="shared" si="18"/>
        <v>3.0182594804186755</v>
      </c>
      <c r="AI26" s="3">
        <f t="shared" si="19"/>
        <v>2.9757195667221006</v>
      </c>
      <c r="AJ26" s="11">
        <f t="shared" si="20"/>
        <v>-4.7481073494016313</v>
      </c>
    </row>
    <row r="27" spans="1:36" ht="18" customHeight="1" x14ac:dyDescent="0.25">
      <c r="A27" s="17">
        <v>3</v>
      </c>
      <c r="B27" s="2">
        <v>10</v>
      </c>
      <c r="C27" s="2">
        <v>0</v>
      </c>
      <c r="D27" s="2">
        <v>1</v>
      </c>
      <c r="E27" s="2">
        <v>1</v>
      </c>
      <c r="F27" s="3">
        <f t="shared" si="21"/>
        <v>2.6350314093859359</v>
      </c>
      <c r="G27" s="3">
        <f t="shared" si="21"/>
        <v>2.766571853623824</v>
      </c>
      <c r="H27" s="3">
        <f t="shared" si="21"/>
        <v>-0.96527355000553761</v>
      </c>
      <c r="I27" s="3">
        <f t="shared" si="21"/>
        <v>-2.7157299374897828</v>
      </c>
      <c r="J27" s="3">
        <f t="shared" si="21"/>
        <v>-2.5457869851349995</v>
      </c>
      <c r="K27" s="3">
        <f t="shared" si="21"/>
        <v>3.6064585326418026</v>
      </c>
      <c r="L27" s="3">
        <f t="shared" si="21"/>
        <v>3.0182594804186755</v>
      </c>
      <c r="M27" s="3">
        <f t="shared" si="21"/>
        <v>2.9757195667221006</v>
      </c>
      <c r="N27" s="3">
        <f t="shared" si="21"/>
        <v>-4.7481073494016313</v>
      </c>
      <c r="O27" s="3">
        <f t="shared" si="0"/>
        <v>1.8012983036182864</v>
      </c>
      <c r="P27" s="3">
        <f t="shared" si="1"/>
        <v>0.85830690326727377</v>
      </c>
      <c r="Q27" s="3">
        <f t="shared" si="2"/>
        <v>1.0606715475068031</v>
      </c>
      <c r="R27" s="3">
        <f t="shared" si="3"/>
        <v>0.74281885798672787</v>
      </c>
      <c r="S27" s="3">
        <f t="shared" si="4"/>
        <v>5.2906208734884608E-2</v>
      </c>
      <c r="T27" s="4">
        <f t="shared" si="5"/>
        <v>0.51322346787997564</v>
      </c>
      <c r="U27" s="1">
        <f t="shared" si="6"/>
        <v>1</v>
      </c>
      <c r="V27" s="3">
        <f t="shared" si="7"/>
        <v>0.48677653212002436</v>
      </c>
      <c r="W27" s="3">
        <f t="shared" si="8"/>
        <v>0.11847569611139855</v>
      </c>
      <c r="X27" s="5" t="str">
        <f t="shared" si="22"/>
        <v>PASS</v>
      </c>
      <c r="Y27" s="3">
        <f t="shared" si="9"/>
        <v>0.12160901523557223</v>
      </c>
      <c r="Z27" s="3">
        <f t="shared" si="10"/>
        <v>4.4638916293549498E-2</v>
      </c>
      <c r="AA27" s="3">
        <f t="shared" si="11"/>
        <v>6.913211018714438E-2</v>
      </c>
      <c r="AB27" s="3">
        <f t="shared" si="12"/>
        <v>2.6350314093859359</v>
      </c>
      <c r="AC27" s="3">
        <f t="shared" si="13"/>
        <v>2.8781691443576976</v>
      </c>
      <c r="AD27" s="3">
        <f t="shared" si="14"/>
        <v>-0.85367625927166391</v>
      </c>
      <c r="AE27" s="3">
        <f t="shared" si="15"/>
        <v>-2.7157299374897828</v>
      </c>
      <c r="AF27" s="3">
        <f t="shared" si="16"/>
        <v>-2.3729567096671387</v>
      </c>
      <c r="AG27" s="3">
        <f t="shared" si="17"/>
        <v>3.7792888081096634</v>
      </c>
      <c r="AH27" s="3">
        <f t="shared" si="18"/>
        <v>3.2792041236092424</v>
      </c>
      <c r="AI27" s="3">
        <f t="shared" si="19"/>
        <v>3.2015532412675465</v>
      </c>
      <c r="AJ27" s="11">
        <f t="shared" si="20"/>
        <v>-4.4440848113127007</v>
      </c>
    </row>
    <row r="28" spans="1:36" ht="18" customHeight="1" x14ac:dyDescent="0.25">
      <c r="A28" s="17">
        <v>3</v>
      </c>
      <c r="B28" s="2">
        <v>11</v>
      </c>
      <c r="C28" s="2">
        <v>1</v>
      </c>
      <c r="D28" s="2">
        <v>0</v>
      </c>
      <c r="E28" s="2">
        <v>1</v>
      </c>
      <c r="F28" s="3">
        <f t="shared" si="21"/>
        <v>2.6350314093859359</v>
      </c>
      <c r="G28" s="3">
        <f t="shared" si="21"/>
        <v>2.8781691443576976</v>
      </c>
      <c r="H28" s="3">
        <f t="shared" si="21"/>
        <v>-0.85367625927166391</v>
      </c>
      <c r="I28" s="3">
        <f t="shared" si="21"/>
        <v>-2.7157299374897828</v>
      </c>
      <c r="J28" s="3">
        <f t="shared" si="21"/>
        <v>-2.3729567096671387</v>
      </c>
      <c r="K28" s="3">
        <f t="shared" si="21"/>
        <v>3.7792888081096634</v>
      </c>
      <c r="L28" s="3">
        <f t="shared" si="21"/>
        <v>3.2792041236092424</v>
      </c>
      <c r="M28" s="3">
        <f t="shared" si="21"/>
        <v>3.2015532412675465</v>
      </c>
      <c r="N28" s="3">
        <f t="shared" si="21"/>
        <v>-4.4440848113127007</v>
      </c>
      <c r="O28" s="3">
        <f t="shared" si="0"/>
        <v>1.7813551501142721</v>
      </c>
      <c r="P28" s="3">
        <f t="shared" si="1"/>
        <v>0.85586411884738645</v>
      </c>
      <c r="Q28" s="3">
        <f t="shared" si="2"/>
        <v>1.0635588706198806</v>
      </c>
      <c r="R28" s="3">
        <f t="shared" si="3"/>
        <v>0.74337006248282067</v>
      </c>
      <c r="S28" s="3">
        <f t="shared" si="4"/>
        <v>0.74240716946397267</v>
      </c>
      <c r="T28" s="4">
        <f t="shared" si="5"/>
        <v>0.67752201349528263</v>
      </c>
      <c r="U28" s="1">
        <f t="shared" si="6"/>
        <v>1</v>
      </c>
      <c r="V28" s="3">
        <f t="shared" si="7"/>
        <v>0.32247798650471737</v>
      </c>
      <c r="W28" s="3">
        <f t="shared" si="8"/>
        <v>5.199602589006834E-2</v>
      </c>
      <c r="X28" s="5" t="str">
        <f t="shared" si="22"/>
        <v>PASS</v>
      </c>
      <c r="Y28" s="3">
        <f t="shared" si="9"/>
        <v>7.0456904309583887E-2</v>
      </c>
      <c r="Z28" s="3">
        <f t="shared" si="10"/>
        <v>2.8501579987758888E-2</v>
      </c>
      <c r="AA28" s="3">
        <f t="shared" si="11"/>
        <v>4.3032509280544355E-2</v>
      </c>
      <c r="AB28" s="3">
        <f t="shared" si="12"/>
        <v>2.7062853593553333</v>
      </c>
      <c r="AC28" s="3">
        <f t="shared" si="13"/>
        <v>2.8781691443576976</v>
      </c>
      <c r="AD28" s="3">
        <f t="shared" si="14"/>
        <v>-0.78242230930226664</v>
      </c>
      <c r="AE28" s="3">
        <f t="shared" si="15"/>
        <v>-2.608148664288422</v>
      </c>
      <c r="AF28" s="3">
        <f t="shared" si="16"/>
        <v>-2.3729567096671387</v>
      </c>
      <c r="AG28" s="3">
        <f t="shared" si="17"/>
        <v>3.8868700813110242</v>
      </c>
      <c r="AH28" s="3">
        <f t="shared" si="18"/>
        <v>3.429957964418334</v>
      </c>
      <c r="AI28" s="3">
        <f t="shared" si="19"/>
        <v>3.3324921246649502</v>
      </c>
      <c r="AJ28" s="11">
        <f t="shared" si="20"/>
        <v>-4.2679425505387414</v>
      </c>
    </row>
    <row r="29" spans="1:36" ht="18" customHeight="1" x14ac:dyDescent="0.25">
      <c r="A29" s="17">
        <v>3</v>
      </c>
      <c r="B29" s="2">
        <v>12</v>
      </c>
      <c r="C29" s="2">
        <v>1</v>
      </c>
      <c r="D29" s="2">
        <v>1</v>
      </c>
      <c r="E29" s="2">
        <v>0</v>
      </c>
      <c r="F29" s="3">
        <f t="shared" si="21"/>
        <v>2.7062853593553333</v>
      </c>
      <c r="G29" s="3">
        <f t="shared" si="21"/>
        <v>2.8781691443576976</v>
      </c>
      <c r="H29" s="3">
        <f t="shared" si="21"/>
        <v>-0.78242230930226664</v>
      </c>
      <c r="I29" s="3">
        <f t="shared" si="21"/>
        <v>-2.608148664288422</v>
      </c>
      <c r="J29" s="3">
        <f t="shared" si="21"/>
        <v>-2.3729567096671387</v>
      </c>
      <c r="K29" s="3">
        <f t="shared" si="21"/>
        <v>3.8868700813110242</v>
      </c>
      <c r="L29" s="3">
        <f t="shared" si="21"/>
        <v>3.429957964418334</v>
      </c>
      <c r="M29" s="3">
        <f t="shared" si="21"/>
        <v>3.3324921246649502</v>
      </c>
      <c r="N29" s="3">
        <f t="shared" si="21"/>
        <v>-4.2679425505387414</v>
      </c>
      <c r="O29" s="3">
        <f t="shared" si="0"/>
        <v>4.8020321944107645</v>
      </c>
      <c r="P29" s="3">
        <f t="shared" si="1"/>
        <v>0.99185386494445549</v>
      </c>
      <c r="Q29" s="3">
        <f t="shared" si="2"/>
        <v>-1.0942352926445369</v>
      </c>
      <c r="R29" s="3">
        <f t="shared" si="3"/>
        <v>0.25082158446073372</v>
      </c>
      <c r="S29" s="3">
        <f t="shared" si="4"/>
        <v>-3.0064532022019641E-2</v>
      </c>
      <c r="T29" s="4">
        <f t="shared" si="5"/>
        <v>0.49248443308106793</v>
      </c>
      <c r="U29" s="1">
        <f t="shared" si="6"/>
        <v>0</v>
      </c>
      <c r="V29" s="3">
        <f t="shared" si="7"/>
        <v>-0.49248443308106793</v>
      </c>
      <c r="W29" s="3">
        <f t="shared" si="8"/>
        <v>0.12127045841359044</v>
      </c>
      <c r="X29" s="5" t="str">
        <f t="shared" si="22"/>
        <v>PASS</v>
      </c>
      <c r="Y29" s="3">
        <f t="shared" si="9"/>
        <v>-0.12309329090458425</v>
      </c>
      <c r="Z29" s="3">
        <f t="shared" si="10"/>
        <v>-3.4113201246878675E-3</v>
      </c>
      <c r="AA29" s="3">
        <f t="shared" si="11"/>
        <v>-7.7082124857577553E-2</v>
      </c>
      <c r="AB29" s="3">
        <f t="shared" si="12"/>
        <v>2.6977570590436137</v>
      </c>
      <c r="AC29" s="3">
        <f t="shared" si="13"/>
        <v>2.869640844045978</v>
      </c>
      <c r="AD29" s="3">
        <f t="shared" si="14"/>
        <v>-0.79095060961398633</v>
      </c>
      <c r="AE29" s="3">
        <f t="shared" si="15"/>
        <v>-2.8008539764323657</v>
      </c>
      <c r="AF29" s="3">
        <f t="shared" si="16"/>
        <v>-2.5656620218110824</v>
      </c>
      <c r="AG29" s="3">
        <f t="shared" si="17"/>
        <v>3.6941647691670805</v>
      </c>
      <c r="AH29" s="3">
        <f t="shared" si="18"/>
        <v>3.1247315735872236</v>
      </c>
      <c r="AI29" s="3">
        <f t="shared" si="19"/>
        <v>3.2553059890120157</v>
      </c>
      <c r="AJ29" s="11">
        <f t="shared" si="20"/>
        <v>-4.5756757778002024</v>
      </c>
    </row>
    <row r="30" spans="1:36" ht="18" customHeight="1" x14ac:dyDescent="0.25">
      <c r="A30" s="17">
        <v>4</v>
      </c>
      <c r="B30" s="2">
        <v>13</v>
      </c>
      <c r="C30" s="2">
        <v>0</v>
      </c>
      <c r="D30" s="2">
        <v>0</v>
      </c>
      <c r="E30" s="2">
        <v>0</v>
      </c>
      <c r="F30" s="3">
        <f t="shared" si="21"/>
        <v>2.6977570590436137</v>
      </c>
      <c r="G30" s="3">
        <f t="shared" si="21"/>
        <v>2.869640844045978</v>
      </c>
      <c r="H30" s="3">
        <f t="shared" si="21"/>
        <v>-0.79095060961398633</v>
      </c>
      <c r="I30" s="3">
        <f t="shared" si="21"/>
        <v>-2.8008539764323657</v>
      </c>
      <c r="J30" s="3">
        <f t="shared" si="21"/>
        <v>-2.5656620218110824</v>
      </c>
      <c r="K30" s="3">
        <f t="shared" si="21"/>
        <v>3.6941647691670805</v>
      </c>
      <c r="L30" s="3">
        <f t="shared" si="21"/>
        <v>3.1247315735872236</v>
      </c>
      <c r="M30" s="3">
        <f t="shared" si="21"/>
        <v>3.2553059890120157</v>
      </c>
      <c r="N30" s="3">
        <f t="shared" si="21"/>
        <v>-4.5756757778002024</v>
      </c>
      <c r="O30" s="3">
        <f t="shared" si="0"/>
        <v>-0.79095060961398633</v>
      </c>
      <c r="P30" s="3">
        <f t="shared" si="1"/>
        <v>0.31196459155386835</v>
      </c>
      <c r="Q30" s="3">
        <f t="shared" si="2"/>
        <v>3.6941647691670805</v>
      </c>
      <c r="R30" s="3">
        <f t="shared" si="3"/>
        <v>0.97573520642898282</v>
      </c>
      <c r="S30" s="3">
        <f t="shared" si="4"/>
        <v>-0.42455350755244492</v>
      </c>
      <c r="T30" s="4">
        <f t="shared" si="5"/>
        <v>0.39542765084965364</v>
      </c>
      <c r="U30" s="1">
        <f t="shared" si="6"/>
        <v>0</v>
      </c>
      <c r="V30" s="3">
        <f t="shared" si="7"/>
        <v>-0.39542765084965364</v>
      </c>
      <c r="W30" s="3">
        <f t="shared" si="8"/>
        <v>7.8181513528237795E-2</v>
      </c>
      <c r="X30" s="5" t="str">
        <f t="shared" si="22"/>
        <v>PASS</v>
      </c>
      <c r="Y30" s="3">
        <f t="shared" si="9"/>
        <v>-9.4532762587792599E-2</v>
      </c>
      <c r="Z30" s="3">
        <f t="shared" si="10"/>
        <v>-6.3403197167560724E-2</v>
      </c>
      <c r="AA30" s="3">
        <f t="shared" si="11"/>
        <v>-7.2858922354738578E-3</v>
      </c>
      <c r="AB30" s="3">
        <f t="shared" si="12"/>
        <v>2.6977570590436137</v>
      </c>
      <c r="AC30" s="3">
        <f t="shared" si="13"/>
        <v>2.869640844045978</v>
      </c>
      <c r="AD30" s="3">
        <f t="shared" si="14"/>
        <v>-0.94945860253288816</v>
      </c>
      <c r="AE30" s="3">
        <f t="shared" si="15"/>
        <v>-2.8008539764323657</v>
      </c>
      <c r="AF30" s="3">
        <f t="shared" si="16"/>
        <v>-2.5656620218110824</v>
      </c>
      <c r="AG30" s="3">
        <f t="shared" si="17"/>
        <v>3.6759500385783959</v>
      </c>
      <c r="AH30" s="3">
        <f t="shared" si="18"/>
        <v>3.0510043869143249</v>
      </c>
      <c r="AI30" s="3">
        <f t="shared" si="19"/>
        <v>3.0247086274672612</v>
      </c>
      <c r="AJ30" s="11">
        <f t="shared" si="20"/>
        <v>-4.8120076842696839</v>
      </c>
    </row>
    <row r="31" spans="1:36" ht="18" customHeight="1" x14ac:dyDescent="0.25">
      <c r="A31" s="17">
        <v>4</v>
      </c>
      <c r="B31" s="2">
        <v>14</v>
      </c>
      <c r="C31" s="2">
        <v>0</v>
      </c>
      <c r="D31" s="2">
        <v>1</v>
      </c>
      <c r="E31" s="2">
        <v>1</v>
      </c>
      <c r="F31" s="3">
        <f t="shared" si="21"/>
        <v>2.6977570590436137</v>
      </c>
      <c r="G31" s="3">
        <f t="shared" si="21"/>
        <v>2.869640844045978</v>
      </c>
      <c r="H31" s="3">
        <f t="shared" si="21"/>
        <v>-0.94945860253288816</v>
      </c>
      <c r="I31" s="3">
        <f t="shared" si="21"/>
        <v>-2.8008539764323657</v>
      </c>
      <c r="J31" s="3">
        <f t="shared" si="21"/>
        <v>-2.5656620218110824</v>
      </c>
      <c r="K31" s="3">
        <f t="shared" si="21"/>
        <v>3.6759500385783959</v>
      </c>
      <c r="L31" s="3">
        <f t="shared" si="21"/>
        <v>3.0510043869143249</v>
      </c>
      <c r="M31" s="3">
        <f t="shared" si="21"/>
        <v>3.0247086274672612</v>
      </c>
      <c r="N31" s="3">
        <f t="shared" si="21"/>
        <v>-4.8120076842696839</v>
      </c>
      <c r="O31" s="3">
        <f t="shared" si="0"/>
        <v>1.9201822415130898</v>
      </c>
      <c r="P31" s="3">
        <f t="shared" si="1"/>
        <v>0.87215875459804681</v>
      </c>
      <c r="Q31" s="3">
        <f t="shared" si="2"/>
        <v>1.1102880167673135</v>
      </c>
      <c r="R31" s="3">
        <f t="shared" si="3"/>
        <v>0.75218280276863458</v>
      </c>
      <c r="S31" s="3">
        <f t="shared" si="4"/>
        <v>0.1240863150614846</v>
      </c>
      <c r="T31" s="4">
        <f t="shared" si="5"/>
        <v>0.53098183561855594</v>
      </c>
      <c r="U31" s="1">
        <f t="shared" si="6"/>
        <v>1</v>
      </c>
      <c r="V31" s="3">
        <f t="shared" si="7"/>
        <v>0.46901816438144406</v>
      </c>
      <c r="W31" s="3">
        <f t="shared" si="8"/>
        <v>0.10998901925986963</v>
      </c>
      <c r="X31" s="5" t="str">
        <f t="shared" si="22"/>
        <v>PASS</v>
      </c>
      <c r="Y31" s="3">
        <f t="shared" si="9"/>
        <v>0.11680434268898057</v>
      </c>
      <c r="Z31" s="3">
        <f t="shared" si="10"/>
        <v>3.9734555515325988E-2</v>
      </c>
      <c r="AA31" s="3">
        <f t="shared" si="11"/>
        <v>6.5856307354260485E-2</v>
      </c>
      <c r="AB31" s="3">
        <f t="shared" si="12"/>
        <v>2.6977570590436137</v>
      </c>
      <c r="AC31" s="3">
        <f t="shared" si="13"/>
        <v>2.9689772328342929</v>
      </c>
      <c r="AD31" s="3">
        <f t="shared" si="14"/>
        <v>-0.8501222137445732</v>
      </c>
      <c r="AE31" s="3">
        <f t="shared" si="15"/>
        <v>-2.8008539764323657</v>
      </c>
      <c r="AF31" s="3">
        <f t="shared" si="16"/>
        <v>-2.4010212534254309</v>
      </c>
      <c r="AG31" s="3">
        <f t="shared" si="17"/>
        <v>3.8405908069640473</v>
      </c>
      <c r="AH31" s="3">
        <f t="shared" si="18"/>
        <v>3.305684212042487</v>
      </c>
      <c r="AI31" s="3">
        <f t="shared" si="19"/>
        <v>3.2443541721156248</v>
      </c>
      <c r="AJ31" s="11">
        <f t="shared" si="20"/>
        <v>-4.5199968275472324</v>
      </c>
    </row>
    <row r="32" spans="1:36" ht="18" customHeight="1" x14ac:dyDescent="0.25">
      <c r="A32" s="17">
        <v>4</v>
      </c>
      <c r="B32" s="2">
        <v>15</v>
      </c>
      <c r="C32" s="2">
        <v>1</v>
      </c>
      <c r="D32" s="2">
        <v>0</v>
      </c>
      <c r="E32" s="2">
        <v>1</v>
      </c>
      <c r="F32" s="3">
        <f t="shared" si="21"/>
        <v>2.6977570590436137</v>
      </c>
      <c r="G32" s="3">
        <f t="shared" si="21"/>
        <v>2.9689772328342929</v>
      </c>
      <c r="H32" s="3">
        <f t="shared" si="21"/>
        <v>-0.8501222137445732</v>
      </c>
      <c r="I32" s="3">
        <f t="shared" si="21"/>
        <v>-2.8008539764323657</v>
      </c>
      <c r="J32" s="3">
        <f t="shared" si="21"/>
        <v>-2.4010212534254309</v>
      </c>
      <c r="K32" s="3">
        <f t="shared" si="21"/>
        <v>3.8405908069640473</v>
      </c>
      <c r="L32" s="3">
        <f t="shared" si="21"/>
        <v>3.305684212042487</v>
      </c>
      <c r="M32" s="3">
        <f t="shared" si="21"/>
        <v>3.2443541721156248</v>
      </c>
      <c r="N32" s="3">
        <f t="shared" si="21"/>
        <v>-4.5199968275472324</v>
      </c>
      <c r="O32" s="3">
        <f t="shared" si="0"/>
        <v>1.8476348452990405</v>
      </c>
      <c r="P32" s="3">
        <f t="shared" si="1"/>
        <v>0.86384916750802998</v>
      </c>
      <c r="Q32" s="3">
        <f t="shared" si="2"/>
        <v>1.0397368305316816</v>
      </c>
      <c r="R32" s="3">
        <f t="shared" si="3"/>
        <v>0.73879922416604638</v>
      </c>
      <c r="S32" s="3">
        <f t="shared" si="4"/>
        <v>0.73254207234900726</v>
      </c>
      <c r="T32" s="4">
        <f t="shared" si="5"/>
        <v>0.67536286478519292</v>
      </c>
      <c r="U32" s="1">
        <f t="shared" si="6"/>
        <v>1</v>
      </c>
      <c r="V32" s="3">
        <f t="shared" si="7"/>
        <v>0.32463713521480708</v>
      </c>
      <c r="W32" s="3">
        <f t="shared" si="8"/>
        <v>5.2694634780238468E-2</v>
      </c>
      <c r="X32" s="5" t="str">
        <f t="shared" si="22"/>
        <v>PASS</v>
      </c>
      <c r="Y32" s="3">
        <f t="shared" si="9"/>
        <v>7.1175999007982632E-2</v>
      </c>
      <c r="Z32" s="3">
        <f t="shared" si="10"/>
        <v>2.7672803250571372E-2</v>
      </c>
      <c r="AA32" s="3">
        <f t="shared" si="11"/>
        <v>4.4561799777877484E-2</v>
      </c>
      <c r="AB32" s="3">
        <f t="shared" si="12"/>
        <v>2.7669390671700422</v>
      </c>
      <c r="AC32" s="3">
        <f t="shared" si="13"/>
        <v>2.9689772328342929</v>
      </c>
      <c r="AD32" s="3">
        <f t="shared" si="14"/>
        <v>-0.78094020561814481</v>
      </c>
      <c r="AE32" s="3">
        <f t="shared" si="15"/>
        <v>-2.6894494769876718</v>
      </c>
      <c r="AF32" s="3">
        <f t="shared" si="16"/>
        <v>-2.4010212534254309</v>
      </c>
      <c r="AG32" s="3">
        <f t="shared" si="17"/>
        <v>3.9519953064087412</v>
      </c>
      <c r="AH32" s="3">
        <f t="shared" si="18"/>
        <v>3.4593975307664824</v>
      </c>
      <c r="AI32" s="3">
        <f t="shared" si="19"/>
        <v>3.3758161042314772</v>
      </c>
      <c r="AJ32" s="11">
        <f t="shared" si="20"/>
        <v>-4.3420568300272757</v>
      </c>
    </row>
    <row r="33" spans="1:36" ht="18" customHeight="1" x14ac:dyDescent="0.25">
      <c r="A33" s="17">
        <v>4</v>
      </c>
      <c r="B33" s="2">
        <v>16</v>
      </c>
      <c r="C33" s="2">
        <v>1</v>
      </c>
      <c r="D33" s="2">
        <v>1</v>
      </c>
      <c r="E33" s="2">
        <v>0</v>
      </c>
      <c r="F33" s="3">
        <f t="shared" si="21"/>
        <v>2.7669390671700422</v>
      </c>
      <c r="G33" s="3">
        <f t="shared" si="21"/>
        <v>2.9689772328342929</v>
      </c>
      <c r="H33" s="3">
        <f t="shared" si="21"/>
        <v>-0.78094020561814481</v>
      </c>
      <c r="I33" s="3">
        <f t="shared" si="21"/>
        <v>-2.6894494769876718</v>
      </c>
      <c r="J33" s="3">
        <f t="shared" si="21"/>
        <v>-2.4010212534254309</v>
      </c>
      <c r="K33" s="3">
        <f t="shared" si="21"/>
        <v>3.9519953064087412</v>
      </c>
      <c r="L33" s="3">
        <f t="shared" si="21"/>
        <v>3.4593975307664824</v>
      </c>
      <c r="M33" s="3">
        <f t="shared" si="21"/>
        <v>3.3758161042314772</v>
      </c>
      <c r="N33" s="3">
        <f t="shared" si="21"/>
        <v>-4.3420568300272757</v>
      </c>
      <c r="O33" s="3">
        <f t="shared" si="0"/>
        <v>4.9549760943861907</v>
      </c>
      <c r="P33" s="3">
        <f t="shared" si="1"/>
        <v>0.99300108134944154</v>
      </c>
      <c r="Q33" s="3">
        <f t="shared" si="2"/>
        <v>-1.1384754240043611</v>
      </c>
      <c r="R33" s="3">
        <f t="shared" si="3"/>
        <v>0.24260038493791983</v>
      </c>
      <c r="S33" s="3">
        <f t="shared" si="4"/>
        <v>-8.7897054792385632E-2</v>
      </c>
      <c r="T33" s="4">
        <f t="shared" si="5"/>
        <v>0.47803987294630246</v>
      </c>
      <c r="U33" s="1">
        <f t="shared" si="6"/>
        <v>0</v>
      </c>
      <c r="V33" s="3">
        <f t="shared" si="7"/>
        <v>-0.47803987294630246</v>
      </c>
      <c r="W33" s="3">
        <f t="shared" si="8"/>
        <v>0.11426106006325849</v>
      </c>
      <c r="X33" s="5" t="str">
        <f t="shared" si="22"/>
        <v>PASS</v>
      </c>
      <c r="Y33" s="3">
        <f t="shared" si="9"/>
        <v>-0.11927943485581714</v>
      </c>
      <c r="Z33" s="3">
        <f t="shared" si="10"/>
        <v>-2.8677858064881049E-3</v>
      </c>
      <c r="AA33" s="3">
        <f t="shared" si="11"/>
        <v>-7.3987937172343907E-2</v>
      </c>
      <c r="AB33" s="3">
        <f t="shared" si="12"/>
        <v>2.7597696026538219</v>
      </c>
      <c r="AC33" s="3">
        <f t="shared" si="13"/>
        <v>2.9618077683180726</v>
      </c>
      <c r="AD33" s="3">
        <f t="shared" si="14"/>
        <v>-0.78810967013436506</v>
      </c>
      <c r="AE33" s="3">
        <f t="shared" si="15"/>
        <v>-2.8744193199185317</v>
      </c>
      <c r="AF33" s="3">
        <f t="shared" si="16"/>
        <v>-2.5859910963562909</v>
      </c>
      <c r="AG33" s="3">
        <f t="shared" si="17"/>
        <v>3.7670254634778813</v>
      </c>
      <c r="AH33" s="3">
        <f t="shared" si="18"/>
        <v>3.1632860112800407</v>
      </c>
      <c r="AI33" s="3">
        <f t="shared" si="19"/>
        <v>3.3034730122034803</v>
      </c>
      <c r="AJ33" s="11">
        <f t="shared" si="20"/>
        <v>-4.6402554171668182</v>
      </c>
    </row>
    <row r="34" spans="1:36" ht="18" customHeight="1" x14ac:dyDescent="0.25">
      <c r="A34" s="17">
        <v>5</v>
      </c>
      <c r="B34" s="2">
        <v>17</v>
      </c>
      <c r="C34" s="2">
        <v>0</v>
      </c>
      <c r="D34" s="2">
        <v>0</v>
      </c>
      <c r="E34" s="2">
        <v>0</v>
      </c>
      <c r="F34" s="3">
        <f t="shared" si="21"/>
        <v>2.7597696026538219</v>
      </c>
      <c r="G34" s="3">
        <f t="shared" si="21"/>
        <v>2.9618077683180726</v>
      </c>
      <c r="H34" s="3">
        <f t="shared" si="21"/>
        <v>-0.78810967013436506</v>
      </c>
      <c r="I34" s="3">
        <f t="shared" si="21"/>
        <v>-2.8744193199185317</v>
      </c>
      <c r="J34" s="3">
        <f t="shared" si="21"/>
        <v>-2.5859910963562909</v>
      </c>
      <c r="K34" s="3">
        <f t="shared" si="21"/>
        <v>3.7670254634778813</v>
      </c>
      <c r="L34" s="3">
        <f t="shared" si="21"/>
        <v>3.1632860112800407</v>
      </c>
      <c r="M34" s="3">
        <f t="shared" si="21"/>
        <v>3.3034730122034803</v>
      </c>
      <c r="N34" s="3">
        <f t="shared" si="21"/>
        <v>-4.6402554171668182</v>
      </c>
      <c r="O34" s="3">
        <f t="shared" si="0"/>
        <v>-0.78810967013436506</v>
      </c>
      <c r="P34" s="3">
        <f t="shared" si="1"/>
        <v>0.31257470394217185</v>
      </c>
      <c r="Q34" s="3">
        <f t="shared" si="2"/>
        <v>3.7670254634778813</v>
      </c>
      <c r="R34" s="3">
        <f t="shared" si="3"/>
        <v>0.97740175348609659</v>
      </c>
      <c r="S34" s="3">
        <f t="shared" si="4"/>
        <v>-0.4226719139848667</v>
      </c>
      <c r="T34" s="4">
        <f t="shared" si="5"/>
        <v>0.39587756170093552</v>
      </c>
      <c r="U34" s="1">
        <f t="shared" si="6"/>
        <v>0</v>
      </c>
      <c r="V34" s="3">
        <f t="shared" si="7"/>
        <v>-0.39587756170093552</v>
      </c>
      <c r="W34" s="3">
        <f t="shared" si="8"/>
        <v>7.8359521929139003E-2</v>
      </c>
      <c r="X34" s="5" t="str">
        <f t="shared" si="22"/>
        <v>PASS</v>
      </c>
      <c r="Y34" s="3">
        <f t="shared" si="9"/>
        <v>-9.4677490903560924E-2</v>
      </c>
      <c r="Z34" s="3">
        <f t="shared" si="10"/>
        <v>-6.435236891830183E-2</v>
      </c>
      <c r="AA34" s="3">
        <f t="shared" si="11"/>
        <v>-6.9082072603158995E-3</v>
      </c>
      <c r="AB34" s="3">
        <f t="shared" si="12"/>
        <v>2.7597696026538219</v>
      </c>
      <c r="AC34" s="3">
        <f t="shared" si="13"/>
        <v>2.9618077683180726</v>
      </c>
      <c r="AD34" s="3">
        <f t="shared" si="14"/>
        <v>-0.94899059243011963</v>
      </c>
      <c r="AE34" s="3">
        <f t="shared" si="15"/>
        <v>-2.8744193199185317</v>
      </c>
      <c r="AF34" s="3">
        <f t="shared" si="16"/>
        <v>-2.5859910963562909</v>
      </c>
      <c r="AG34" s="3">
        <f t="shared" si="17"/>
        <v>3.7497549453270915</v>
      </c>
      <c r="AH34" s="3">
        <f t="shared" si="18"/>
        <v>3.0893015395571202</v>
      </c>
      <c r="AI34" s="3">
        <f t="shared" si="19"/>
        <v>3.0721281481414695</v>
      </c>
      <c r="AJ34" s="11">
        <f t="shared" si="20"/>
        <v>-4.8769491444257209</v>
      </c>
    </row>
    <row r="35" spans="1:36" ht="18" customHeight="1" x14ac:dyDescent="0.25">
      <c r="A35" s="17">
        <v>5</v>
      </c>
      <c r="B35" s="2">
        <v>18</v>
      </c>
      <c r="C35" s="2">
        <v>0</v>
      </c>
      <c r="D35" s="2">
        <v>1</v>
      </c>
      <c r="E35" s="2">
        <v>1</v>
      </c>
      <c r="F35" s="3">
        <f t="shared" si="21"/>
        <v>2.7597696026538219</v>
      </c>
      <c r="G35" s="3">
        <f t="shared" si="21"/>
        <v>2.9618077683180726</v>
      </c>
      <c r="H35" s="3">
        <f t="shared" si="21"/>
        <v>-0.94899059243011963</v>
      </c>
      <c r="I35" s="3">
        <f t="shared" si="21"/>
        <v>-2.8744193199185317</v>
      </c>
      <c r="J35" s="3">
        <f t="shared" si="21"/>
        <v>-2.5859910963562909</v>
      </c>
      <c r="K35" s="3">
        <f t="shared" si="21"/>
        <v>3.7497549453270915</v>
      </c>
      <c r="L35" s="3">
        <f t="shared" si="21"/>
        <v>3.0893015395571202</v>
      </c>
      <c r="M35" s="3">
        <f t="shared" si="21"/>
        <v>3.0721281481414695</v>
      </c>
      <c r="N35" s="3">
        <f t="shared" si="21"/>
        <v>-4.8769491444257209</v>
      </c>
      <c r="O35" s="3">
        <f t="shared" si="0"/>
        <v>2.0128171758879532</v>
      </c>
      <c r="P35" s="3">
        <f t="shared" si="1"/>
        <v>0.88213624476686325</v>
      </c>
      <c r="Q35" s="3">
        <f t="shared" si="2"/>
        <v>1.1637638489708007</v>
      </c>
      <c r="R35" s="3">
        <f t="shared" si="3"/>
        <v>0.76201595296752134</v>
      </c>
      <c r="S35" s="3">
        <f t="shared" si="4"/>
        <v>0.1892463730760543</v>
      </c>
      <c r="T35" s="4">
        <f t="shared" si="5"/>
        <v>0.54717089494905313</v>
      </c>
      <c r="U35" s="1">
        <f t="shared" si="6"/>
        <v>1</v>
      </c>
      <c r="V35" s="3">
        <f t="shared" si="7"/>
        <v>0.45282910505094687</v>
      </c>
      <c r="W35" s="3">
        <f t="shared" si="8"/>
        <v>0.10252709919062074</v>
      </c>
      <c r="X35" s="5" t="str">
        <f t="shared" si="22"/>
        <v>PASS</v>
      </c>
      <c r="Y35" s="3">
        <f t="shared" si="9"/>
        <v>0.11219968924132458</v>
      </c>
      <c r="Z35" s="3">
        <f t="shared" si="10"/>
        <v>3.6038598662005247E-2</v>
      </c>
      <c r="AA35" s="3">
        <f t="shared" si="11"/>
        <v>6.2509048859252722E-2</v>
      </c>
      <c r="AB35" s="3">
        <f t="shared" si="12"/>
        <v>2.7597696026538219</v>
      </c>
      <c r="AC35" s="3">
        <f t="shared" si="13"/>
        <v>3.0519042649730856</v>
      </c>
      <c r="AD35" s="3">
        <f t="shared" si="14"/>
        <v>-0.85889409577510656</v>
      </c>
      <c r="AE35" s="3">
        <f t="shared" si="15"/>
        <v>-2.8744193199185317</v>
      </c>
      <c r="AF35" s="3">
        <f t="shared" si="16"/>
        <v>-2.4297184742081592</v>
      </c>
      <c r="AG35" s="3">
        <f t="shared" si="17"/>
        <v>3.9060275674752232</v>
      </c>
      <c r="AH35" s="3">
        <f t="shared" si="18"/>
        <v>3.3367400708854977</v>
      </c>
      <c r="AI35" s="3">
        <f t="shared" si="19"/>
        <v>3.2858730309411888</v>
      </c>
      <c r="AJ35" s="11">
        <f t="shared" si="20"/>
        <v>-4.5964499213224093</v>
      </c>
    </row>
    <row r="36" spans="1:36" ht="18" customHeight="1" x14ac:dyDescent="0.25">
      <c r="A36" s="17">
        <v>5</v>
      </c>
      <c r="B36" s="2">
        <v>19</v>
      </c>
      <c r="C36" s="2">
        <v>1</v>
      </c>
      <c r="D36" s="2">
        <v>0</v>
      </c>
      <c r="E36" s="2">
        <v>1</v>
      </c>
      <c r="F36" s="3">
        <f t="shared" si="21"/>
        <v>2.7597696026538219</v>
      </c>
      <c r="G36" s="3">
        <f t="shared" si="21"/>
        <v>3.0519042649730856</v>
      </c>
      <c r="H36" s="3">
        <f t="shared" si="21"/>
        <v>-0.85889409577510656</v>
      </c>
      <c r="I36" s="3">
        <f t="shared" si="21"/>
        <v>-2.8744193199185317</v>
      </c>
      <c r="J36" s="3">
        <f t="shared" si="21"/>
        <v>-2.4297184742081592</v>
      </c>
      <c r="K36" s="3">
        <f t="shared" si="21"/>
        <v>3.9060275674752232</v>
      </c>
      <c r="L36" s="3">
        <f t="shared" si="21"/>
        <v>3.3367400708854977</v>
      </c>
      <c r="M36" s="3">
        <f t="shared" si="21"/>
        <v>3.2858730309411888</v>
      </c>
      <c r="N36" s="3">
        <f t="shared" si="21"/>
        <v>-4.5964499213224093</v>
      </c>
      <c r="O36" s="3">
        <f t="shared" si="0"/>
        <v>1.9008755068787153</v>
      </c>
      <c r="P36" s="3">
        <f t="shared" si="1"/>
        <v>0.86999058364699233</v>
      </c>
      <c r="Q36" s="3">
        <f t="shared" si="2"/>
        <v>1.0316082475566914</v>
      </c>
      <c r="R36" s="3">
        <f t="shared" si="3"/>
        <v>0.73722756934676126</v>
      </c>
      <c r="S36" s="3">
        <f t="shared" si="4"/>
        <v>0.7289187082084192</v>
      </c>
      <c r="T36" s="4">
        <f t="shared" si="5"/>
        <v>0.67456794570619516</v>
      </c>
      <c r="U36" s="1">
        <f t="shared" si="6"/>
        <v>1</v>
      </c>
      <c r="V36" s="3">
        <f t="shared" si="7"/>
        <v>0.32543205429380484</v>
      </c>
      <c r="W36" s="3">
        <f t="shared" si="8"/>
        <v>5.2953010980942967E-2</v>
      </c>
      <c r="X36" s="5" t="str">
        <f t="shared" si="22"/>
        <v>PASS</v>
      </c>
      <c r="Y36" s="3">
        <f t="shared" si="9"/>
        <v>7.1440807672744591E-2</v>
      </c>
      <c r="Z36" s="3">
        <f t="shared" si="10"/>
        <v>2.6962371810620018E-2</v>
      </c>
      <c r="AA36" s="3">
        <f t="shared" si="11"/>
        <v>4.5475606486301084E-2</v>
      </c>
      <c r="AB36" s="3">
        <f t="shared" si="12"/>
        <v>2.8271755321803718</v>
      </c>
      <c r="AC36" s="3">
        <f t="shared" si="13"/>
        <v>3.0519042649730856</v>
      </c>
      <c r="AD36" s="3">
        <f t="shared" si="14"/>
        <v>-0.79148816624855656</v>
      </c>
      <c r="AE36" s="3">
        <f t="shared" si="15"/>
        <v>-2.7607303037027791</v>
      </c>
      <c r="AF36" s="3">
        <f t="shared" si="16"/>
        <v>-2.4297184742081592</v>
      </c>
      <c r="AG36" s="3">
        <f t="shared" si="17"/>
        <v>4.0197165836909763</v>
      </c>
      <c r="AH36" s="3">
        <f t="shared" si="18"/>
        <v>3.4921221457940566</v>
      </c>
      <c r="AI36" s="3">
        <f t="shared" si="19"/>
        <v>3.4175433634230563</v>
      </c>
      <c r="AJ36" s="11">
        <f t="shared" si="20"/>
        <v>-4.4178479021405481</v>
      </c>
    </row>
    <row r="37" spans="1:36" ht="18" customHeight="1" x14ac:dyDescent="0.25">
      <c r="A37" s="17">
        <v>5</v>
      </c>
      <c r="B37" s="2">
        <v>20</v>
      </c>
      <c r="C37" s="2">
        <v>1</v>
      </c>
      <c r="D37" s="2">
        <v>1</v>
      </c>
      <c r="E37" s="2">
        <v>0</v>
      </c>
      <c r="F37" s="3">
        <f t="shared" si="21"/>
        <v>2.8271755321803718</v>
      </c>
      <c r="G37" s="3">
        <f t="shared" si="21"/>
        <v>3.0519042649730856</v>
      </c>
      <c r="H37" s="3">
        <f t="shared" si="21"/>
        <v>-0.79148816624855656</v>
      </c>
      <c r="I37" s="3">
        <f t="shared" si="21"/>
        <v>-2.7607303037027791</v>
      </c>
      <c r="J37" s="3">
        <f t="shared" si="21"/>
        <v>-2.4297184742081592</v>
      </c>
      <c r="K37" s="3">
        <f t="shared" si="21"/>
        <v>4.0197165836909763</v>
      </c>
      <c r="L37" s="3">
        <f t="shared" si="21"/>
        <v>3.4921221457940566</v>
      </c>
      <c r="M37" s="3">
        <f t="shared" si="21"/>
        <v>3.4175433634230563</v>
      </c>
      <c r="N37" s="3">
        <f t="shared" si="21"/>
        <v>-4.4178479021405481</v>
      </c>
      <c r="O37" s="3">
        <f t="shared" si="0"/>
        <v>5.0875916309049005</v>
      </c>
      <c r="P37" s="3">
        <f t="shared" si="1"/>
        <v>0.99386500199093586</v>
      </c>
      <c r="Q37" s="3">
        <f t="shared" si="2"/>
        <v>-1.170732194219962</v>
      </c>
      <c r="R37" s="3">
        <f t="shared" si="3"/>
        <v>0.23672266222689398</v>
      </c>
      <c r="S37" s="3">
        <f t="shared" si="4"/>
        <v>-0.13813995549298763</v>
      </c>
      <c r="T37" s="4">
        <f t="shared" si="5"/>
        <v>0.46551982478119047</v>
      </c>
      <c r="U37" s="1">
        <f t="shared" si="6"/>
        <v>0</v>
      </c>
      <c r="V37" s="3">
        <f t="shared" si="7"/>
        <v>-0.46551982478119047</v>
      </c>
      <c r="W37" s="3">
        <f t="shared" si="8"/>
        <v>0.10835435363215513</v>
      </c>
      <c r="X37" s="5" t="str">
        <f t="shared" si="22"/>
        <v>PASS</v>
      </c>
      <c r="Y37" s="3">
        <f t="shared" si="9"/>
        <v>-0.11582650783007026</v>
      </c>
      <c r="Z37" s="3">
        <f t="shared" si="10"/>
        <v>-2.4662620041992689E-3</v>
      </c>
      <c r="AA37" s="3">
        <f t="shared" si="11"/>
        <v>-7.1522749398792829E-2</v>
      </c>
      <c r="AB37" s="3">
        <f t="shared" si="12"/>
        <v>2.8210098771698737</v>
      </c>
      <c r="AC37" s="3">
        <f t="shared" si="13"/>
        <v>3.0457386099625876</v>
      </c>
      <c r="AD37" s="3">
        <f t="shared" si="14"/>
        <v>-0.79765382125905471</v>
      </c>
      <c r="AE37" s="3">
        <f t="shared" si="15"/>
        <v>-2.9395371771997612</v>
      </c>
      <c r="AF37" s="3">
        <f t="shared" si="16"/>
        <v>-2.6085253477051413</v>
      </c>
      <c r="AG37" s="3">
        <f t="shared" si="17"/>
        <v>3.8409097101939942</v>
      </c>
      <c r="AH37" s="3">
        <f t="shared" si="18"/>
        <v>3.2043323647062167</v>
      </c>
      <c r="AI37" s="3">
        <f t="shared" si="19"/>
        <v>3.3489964651981103</v>
      </c>
      <c r="AJ37" s="11">
        <f t="shared" si="20"/>
        <v>-4.7074141717157234</v>
      </c>
    </row>
    <row r="38" spans="1:36" ht="18" customHeight="1" x14ac:dyDescent="0.25">
      <c r="A38" s="17">
        <v>6</v>
      </c>
      <c r="B38" s="2">
        <v>21</v>
      </c>
      <c r="C38" s="2">
        <v>0</v>
      </c>
      <c r="D38" s="2">
        <v>0</v>
      </c>
      <c r="E38" s="2">
        <v>0</v>
      </c>
      <c r="F38" s="3">
        <f t="shared" si="21"/>
        <v>2.8210098771698737</v>
      </c>
      <c r="G38" s="3">
        <f t="shared" si="21"/>
        <v>3.0457386099625876</v>
      </c>
      <c r="H38" s="3">
        <f t="shared" si="21"/>
        <v>-0.79765382125905471</v>
      </c>
      <c r="I38" s="3">
        <f t="shared" si="21"/>
        <v>-2.9395371771997612</v>
      </c>
      <c r="J38" s="3">
        <f t="shared" si="21"/>
        <v>-2.6085253477051413</v>
      </c>
      <c r="K38" s="3">
        <f t="shared" si="21"/>
        <v>3.8409097101939942</v>
      </c>
      <c r="L38" s="3">
        <f t="shared" si="21"/>
        <v>3.2043323647062167</v>
      </c>
      <c r="M38" s="3">
        <f t="shared" si="21"/>
        <v>3.3489964651981103</v>
      </c>
      <c r="N38" s="3">
        <f t="shared" si="21"/>
        <v>-4.7074141717157234</v>
      </c>
      <c r="O38" s="3">
        <f t="shared" si="0"/>
        <v>-0.79765382125905471</v>
      </c>
      <c r="P38" s="3">
        <f t="shared" si="1"/>
        <v>0.31052761281487273</v>
      </c>
      <c r="Q38" s="3">
        <f t="shared" si="2"/>
        <v>3.8409097101939942</v>
      </c>
      <c r="R38" s="3">
        <f t="shared" si="3"/>
        <v>0.97897738358141195</v>
      </c>
      <c r="S38" s="3">
        <f t="shared" si="4"/>
        <v>-0.43378869471502224</v>
      </c>
      <c r="T38" s="4">
        <f t="shared" si="5"/>
        <v>0.3932219900877717</v>
      </c>
      <c r="U38" s="1">
        <f t="shared" si="6"/>
        <v>0</v>
      </c>
      <c r="V38" s="3">
        <f t="shared" si="7"/>
        <v>-0.3932219900877717</v>
      </c>
      <c r="W38" s="3">
        <f t="shared" si="8"/>
        <v>7.7311766744293811E-2</v>
      </c>
      <c r="X38" s="5" t="str">
        <f t="shared" si="22"/>
        <v>PASS</v>
      </c>
      <c r="Y38" s="3">
        <f t="shared" si="9"/>
        <v>-9.382215993580198E-2</v>
      </c>
      <c r="Z38" s="3">
        <f t="shared" si="10"/>
        <v>-6.4366528315698557E-2</v>
      </c>
      <c r="AA38" s="3">
        <f t="shared" si="11"/>
        <v>-6.4666527566095934E-3</v>
      </c>
      <c r="AB38" s="3">
        <f t="shared" si="12"/>
        <v>2.8210098771698737</v>
      </c>
      <c r="AC38" s="3">
        <f t="shared" si="13"/>
        <v>3.0457386099625876</v>
      </c>
      <c r="AD38" s="3">
        <f t="shared" si="14"/>
        <v>-0.95857014204830104</v>
      </c>
      <c r="AE38" s="3">
        <f t="shared" si="15"/>
        <v>-2.9395371771997612</v>
      </c>
      <c r="AF38" s="3">
        <f t="shared" si="16"/>
        <v>-2.6085253477051413</v>
      </c>
      <c r="AG38" s="3">
        <f t="shared" si="17"/>
        <v>3.8247430783024701</v>
      </c>
      <c r="AH38" s="3">
        <f t="shared" si="18"/>
        <v>3.1314964363212172</v>
      </c>
      <c r="AI38" s="3">
        <f t="shared" si="19"/>
        <v>3.1193720335583399</v>
      </c>
      <c r="AJ38" s="11">
        <f t="shared" si="20"/>
        <v>-4.9419695715552283</v>
      </c>
    </row>
    <row r="39" spans="1:36" ht="18" customHeight="1" x14ac:dyDescent="0.25">
      <c r="A39" s="17">
        <v>6</v>
      </c>
      <c r="B39" s="2">
        <v>22</v>
      </c>
      <c r="C39" s="2">
        <v>0</v>
      </c>
      <c r="D39" s="2">
        <v>1</v>
      </c>
      <c r="E39" s="2">
        <v>1</v>
      </c>
      <c r="F39" s="3">
        <f t="shared" si="21"/>
        <v>2.8210098771698737</v>
      </c>
      <c r="G39" s="3">
        <f t="shared" si="21"/>
        <v>3.0457386099625876</v>
      </c>
      <c r="H39" s="3">
        <f t="shared" si="21"/>
        <v>-0.95857014204830104</v>
      </c>
      <c r="I39" s="3">
        <f t="shared" si="21"/>
        <v>-2.9395371771997612</v>
      </c>
      <c r="J39" s="3">
        <f t="shared" si="21"/>
        <v>-2.6085253477051413</v>
      </c>
      <c r="K39" s="3">
        <f t="shared" si="21"/>
        <v>3.8247430783024701</v>
      </c>
      <c r="L39" s="3">
        <f t="shared" si="21"/>
        <v>3.1314964363212172</v>
      </c>
      <c r="M39" s="3">
        <f t="shared" si="21"/>
        <v>3.1193720335583399</v>
      </c>
      <c r="N39" s="3">
        <f t="shared" si="21"/>
        <v>-4.9419695715552283</v>
      </c>
      <c r="O39" s="3">
        <f t="shared" si="0"/>
        <v>2.0871684679142866</v>
      </c>
      <c r="P39" s="3">
        <f t="shared" si="1"/>
        <v>0.8896497519820995</v>
      </c>
      <c r="Q39" s="3">
        <f t="shared" si="2"/>
        <v>1.2162177305973287</v>
      </c>
      <c r="R39" s="3">
        <f t="shared" si="3"/>
        <v>0.77139725543332771</v>
      </c>
      <c r="S39" s="3">
        <f t="shared" si="4"/>
        <v>0.25024048171315272</v>
      </c>
      <c r="T39" s="4">
        <f t="shared" si="5"/>
        <v>0.56223569074636959</v>
      </c>
      <c r="U39" s="1">
        <f t="shared" si="6"/>
        <v>1</v>
      </c>
      <c r="V39" s="3">
        <f t="shared" si="7"/>
        <v>0.43776430925363041</v>
      </c>
      <c r="W39" s="3">
        <f t="shared" si="8"/>
        <v>9.5818795228154077E-2</v>
      </c>
      <c r="X39" s="5" t="str">
        <f t="shared" si="22"/>
        <v>PASS</v>
      </c>
      <c r="Y39" s="3">
        <f t="shared" si="9"/>
        <v>0.10774549304317231</v>
      </c>
      <c r="Z39" s="3">
        <f t="shared" si="10"/>
        <v>3.3124048376601274E-2</v>
      </c>
      <c r="AA39" s="3">
        <f t="shared" si="11"/>
        <v>5.92687566374469E-2</v>
      </c>
      <c r="AB39" s="3">
        <f t="shared" si="12"/>
        <v>2.8210098771698737</v>
      </c>
      <c r="AC39" s="3">
        <f t="shared" si="13"/>
        <v>3.1285487309040909</v>
      </c>
      <c r="AD39" s="3">
        <f t="shared" si="14"/>
        <v>-0.87576002110679785</v>
      </c>
      <c r="AE39" s="3">
        <f t="shared" si="15"/>
        <v>-2.9395371771997612</v>
      </c>
      <c r="AF39" s="3">
        <f t="shared" si="16"/>
        <v>-2.4603534561115241</v>
      </c>
      <c r="AG39" s="3">
        <f t="shared" si="17"/>
        <v>3.9729149698960873</v>
      </c>
      <c r="AH39" s="3">
        <f t="shared" si="18"/>
        <v>3.3711358142288352</v>
      </c>
      <c r="AI39" s="3">
        <f t="shared" si="19"/>
        <v>3.3271584776053746</v>
      </c>
      <c r="AJ39" s="11">
        <f t="shared" si="20"/>
        <v>-4.6726058389472973</v>
      </c>
    </row>
    <row r="40" spans="1:36" ht="18" customHeight="1" x14ac:dyDescent="0.25">
      <c r="A40" s="17">
        <v>6</v>
      </c>
      <c r="B40" s="2">
        <v>23</v>
      </c>
      <c r="C40" s="2">
        <v>1</v>
      </c>
      <c r="D40" s="2">
        <v>0</v>
      </c>
      <c r="E40" s="2">
        <v>1</v>
      </c>
      <c r="F40" s="3">
        <f t="shared" si="21"/>
        <v>2.8210098771698737</v>
      </c>
      <c r="G40" s="3">
        <f t="shared" si="21"/>
        <v>3.1285487309040909</v>
      </c>
      <c r="H40" s="3">
        <f t="shared" si="21"/>
        <v>-0.87576002110679785</v>
      </c>
      <c r="I40" s="3">
        <f t="shared" si="21"/>
        <v>-2.9395371771997612</v>
      </c>
      <c r="J40" s="3">
        <f t="shared" si="21"/>
        <v>-2.4603534561115241</v>
      </c>
      <c r="K40" s="3">
        <f t="shared" si="21"/>
        <v>3.9729149698960873</v>
      </c>
      <c r="L40" s="3">
        <f t="shared" si="21"/>
        <v>3.3711358142288352</v>
      </c>
      <c r="M40" s="3">
        <f t="shared" si="21"/>
        <v>3.3271584776053746</v>
      </c>
      <c r="N40" s="3">
        <f t="shared" si="21"/>
        <v>-4.6726058389472973</v>
      </c>
      <c r="O40" s="3">
        <f t="shared" si="0"/>
        <v>1.945249856063076</v>
      </c>
      <c r="P40" s="3">
        <f t="shared" si="1"/>
        <v>0.87492776256989768</v>
      </c>
      <c r="Q40" s="3">
        <f t="shared" si="2"/>
        <v>1.0333777926963261</v>
      </c>
      <c r="R40" s="3">
        <f t="shared" si="3"/>
        <v>0.73757022715003273</v>
      </c>
      <c r="S40" s="3">
        <f t="shared" si="4"/>
        <v>0.73090751040674107</v>
      </c>
      <c r="T40" s="4">
        <f t="shared" si="5"/>
        <v>0.67500438789354456</v>
      </c>
      <c r="U40" s="1">
        <f t="shared" si="6"/>
        <v>1</v>
      </c>
      <c r="V40" s="3">
        <f t="shared" si="7"/>
        <v>0.32499561210645544</v>
      </c>
      <c r="W40" s="3">
        <f t="shared" si="8"/>
        <v>5.2811073944224823E-2</v>
      </c>
      <c r="X40" s="5" t="str">
        <f t="shared" si="22"/>
        <v>PASS</v>
      </c>
      <c r="Y40" s="3">
        <f t="shared" si="9"/>
        <v>7.1295413283444395E-2</v>
      </c>
      <c r="Z40" s="3">
        <f t="shared" si="10"/>
        <v>2.6300921003490352E-2</v>
      </c>
      <c r="AA40" s="3">
        <f t="shared" si="11"/>
        <v>4.591467985220183E-2</v>
      </c>
      <c r="AB40" s="3">
        <f t="shared" si="12"/>
        <v>2.8867621796785996</v>
      </c>
      <c r="AC40" s="3">
        <f t="shared" si="13"/>
        <v>3.1285487309040909</v>
      </c>
      <c r="AD40" s="3">
        <f t="shared" si="14"/>
        <v>-0.81000771859807197</v>
      </c>
      <c r="AE40" s="3">
        <f t="shared" si="15"/>
        <v>-2.8247504775692565</v>
      </c>
      <c r="AF40" s="3">
        <f t="shared" si="16"/>
        <v>-2.4603534561115241</v>
      </c>
      <c r="AG40" s="3">
        <f t="shared" si="17"/>
        <v>4.0877016695265915</v>
      </c>
      <c r="AH40" s="3">
        <f t="shared" si="18"/>
        <v>3.5270816552927857</v>
      </c>
      <c r="AI40" s="3">
        <f t="shared" si="19"/>
        <v>3.4586219130309384</v>
      </c>
      <c r="AJ40" s="11">
        <f t="shared" si="20"/>
        <v>-4.4943673057386864</v>
      </c>
    </row>
    <row r="41" spans="1:36" ht="18" customHeight="1" x14ac:dyDescent="0.25">
      <c r="A41" s="17">
        <v>6</v>
      </c>
      <c r="B41" s="2">
        <v>24</v>
      </c>
      <c r="C41" s="2">
        <v>1</v>
      </c>
      <c r="D41" s="2">
        <v>1</v>
      </c>
      <c r="E41" s="2">
        <v>0</v>
      </c>
      <c r="F41" s="3">
        <f t="shared" si="21"/>
        <v>2.8867621796785996</v>
      </c>
      <c r="G41" s="3">
        <f t="shared" si="21"/>
        <v>3.1285487309040909</v>
      </c>
      <c r="H41" s="3">
        <f t="shared" si="21"/>
        <v>-0.81000771859807197</v>
      </c>
      <c r="I41" s="3">
        <f t="shared" si="21"/>
        <v>-2.8247504775692565</v>
      </c>
      <c r="J41" s="3">
        <f t="shared" si="21"/>
        <v>-2.4603534561115241</v>
      </c>
      <c r="K41" s="3">
        <f t="shared" si="21"/>
        <v>4.0877016695265915</v>
      </c>
      <c r="L41" s="3">
        <f t="shared" si="21"/>
        <v>3.5270816552927857</v>
      </c>
      <c r="M41" s="3">
        <f t="shared" si="21"/>
        <v>3.4586219130309384</v>
      </c>
      <c r="N41" s="3">
        <f t="shared" si="21"/>
        <v>-4.4943673057386864</v>
      </c>
      <c r="O41" s="3">
        <f t="shared" si="0"/>
        <v>5.2053031919846182</v>
      </c>
      <c r="P41" s="3">
        <f t="shared" si="1"/>
        <v>0.99454256062183755</v>
      </c>
      <c r="Q41" s="3">
        <f t="shared" si="2"/>
        <v>-1.1974022641541886</v>
      </c>
      <c r="R41" s="3">
        <f t="shared" si="3"/>
        <v>0.23193766158771953</v>
      </c>
      <c r="S41" s="3">
        <f t="shared" si="4"/>
        <v>-0.18434980593704875</v>
      </c>
      <c r="T41" s="4">
        <f t="shared" si="5"/>
        <v>0.45404262938649237</v>
      </c>
      <c r="U41" s="1">
        <f t="shared" si="6"/>
        <v>0</v>
      </c>
      <c r="V41" s="3">
        <f t="shared" si="7"/>
        <v>-0.45404262938649237</v>
      </c>
      <c r="W41" s="3">
        <f t="shared" si="8"/>
        <v>0.10307735465009983</v>
      </c>
      <c r="X41" s="5" t="str">
        <f t="shared" si="22"/>
        <v>PASS</v>
      </c>
      <c r="Y41" s="3">
        <f t="shared" si="9"/>
        <v>-0.11255168302912905</v>
      </c>
      <c r="Z41" s="3">
        <f t="shared" si="10"/>
        <v>-2.1546652178325134E-3</v>
      </c>
      <c r="AA41" s="3">
        <f t="shared" si="11"/>
        <v>-6.9346225381960669E-2</v>
      </c>
      <c r="AB41" s="3">
        <f t="shared" si="12"/>
        <v>2.8813755166340185</v>
      </c>
      <c r="AC41" s="3">
        <f t="shared" si="13"/>
        <v>3.1231620678595098</v>
      </c>
      <c r="AD41" s="3">
        <f t="shared" si="14"/>
        <v>-0.81539438164265321</v>
      </c>
      <c r="AE41" s="3">
        <f t="shared" si="15"/>
        <v>-2.9981160410241583</v>
      </c>
      <c r="AF41" s="3">
        <f t="shared" si="16"/>
        <v>-2.633719019566426</v>
      </c>
      <c r="AG41" s="3">
        <f t="shared" si="17"/>
        <v>3.9143361060716897</v>
      </c>
      <c r="AH41" s="3">
        <f t="shared" si="18"/>
        <v>3.247238057687567</v>
      </c>
      <c r="AI41" s="3">
        <f t="shared" si="19"/>
        <v>3.3933594776070923</v>
      </c>
      <c r="AJ41" s="11">
        <f t="shared" si="20"/>
        <v>-4.7757465133115087</v>
      </c>
    </row>
    <row r="42" spans="1:36" ht="18" customHeight="1" x14ac:dyDescent="0.25">
      <c r="A42" s="17">
        <v>7</v>
      </c>
      <c r="B42" s="2">
        <v>25</v>
      </c>
      <c r="C42" s="2">
        <v>0</v>
      </c>
      <c r="D42" s="2">
        <v>0</v>
      </c>
      <c r="E42" s="2">
        <v>0</v>
      </c>
      <c r="F42" s="3">
        <f t="shared" si="21"/>
        <v>2.8813755166340185</v>
      </c>
      <c r="G42" s="3">
        <f t="shared" si="21"/>
        <v>3.1231620678595098</v>
      </c>
      <c r="H42" s="3">
        <f t="shared" si="21"/>
        <v>-0.81539438164265321</v>
      </c>
      <c r="I42" s="3">
        <f t="shared" si="21"/>
        <v>-2.9981160410241583</v>
      </c>
      <c r="J42" s="3">
        <f t="shared" si="21"/>
        <v>-2.633719019566426</v>
      </c>
      <c r="K42" s="3">
        <f t="shared" si="21"/>
        <v>3.9143361060716897</v>
      </c>
      <c r="L42" s="3">
        <f t="shared" si="21"/>
        <v>3.247238057687567</v>
      </c>
      <c r="M42" s="3">
        <f t="shared" si="21"/>
        <v>3.3933594776070923</v>
      </c>
      <c r="N42" s="3">
        <f t="shared" si="21"/>
        <v>-4.7757465133115087</v>
      </c>
      <c r="O42" s="3">
        <f t="shared" si="0"/>
        <v>-0.81539438164265321</v>
      </c>
      <c r="P42" s="3">
        <f t="shared" si="1"/>
        <v>0.3067421784684905</v>
      </c>
      <c r="Q42" s="3">
        <f t="shared" si="2"/>
        <v>3.9143361060716897</v>
      </c>
      <c r="R42" s="3">
        <f t="shared" si="3"/>
        <v>0.98043657309036181</v>
      </c>
      <c r="S42" s="3">
        <f t="shared" si="4"/>
        <v>-0.4527079000018368</v>
      </c>
      <c r="T42" s="4">
        <f t="shared" si="5"/>
        <v>0.38871713178891032</v>
      </c>
      <c r="U42" s="1">
        <f t="shared" si="6"/>
        <v>0</v>
      </c>
      <c r="V42" s="3">
        <f t="shared" si="7"/>
        <v>-0.38871713178891032</v>
      </c>
      <c r="W42" s="3">
        <f t="shared" si="8"/>
        <v>7.5550504273098534E-2</v>
      </c>
      <c r="X42" s="5" t="str">
        <f t="shared" si="22"/>
        <v>PASS</v>
      </c>
      <c r="Y42" s="3">
        <f t="shared" si="9"/>
        <v>-9.2365457893707717E-2</v>
      </c>
      <c r="Z42" s="3">
        <f t="shared" si="10"/>
        <v>-6.3781098018032223E-2</v>
      </c>
      <c r="AA42" s="3">
        <f t="shared" si="11"/>
        <v>-6.0117912547002468E-3</v>
      </c>
      <c r="AB42" s="3">
        <f t="shared" si="12"/>
        <v>2.8813755166340185</v>
      </c>
      <c r="AC42" s="3">
        <f t="shared" si="13"/>
        <v>3.1231620678595098</v>
      </c>
      <c r="AD42" s="3">
        <f t="shared" si="14"/>
        <v>-0.97484712668773377</v>
      </c>
      <c r="AE42" s="3">
        <f t="shared" si="15"/>
        <v>-2.9981160410241583</v>
      </c>
      <c r="AF42" s="3">
        <f t="shared" si="16"/>
        <v>-2.633719019566426</v>
      </c>
      <c r="AG42" s="3">
        <f t="shared" si="17"/>
        <v>3.8993066279349389</v>
      </c>
      <c r="AH42" s="3">
        <f t="shared" si="18"/>
        <v>3.1764071032636783</v>
      </c>
      <c r="AI42" s="3">
        <f t="shared" si="19"/>
        <v>3.1669632950840203</v>
      </c>
      <c r="AJ42" s="11">
        <f t="shared" si="20"/>
        <v>-5.0066601580457784</v>
      </c>
    </row>
    <row r="43" spans="1:36" ht="18" customHeight="1" x14ac:dyDescent="0.25">
      <c r="A43" s="17">
        <v>7</v>
      </c>
      <c r="B43" s="2">
        <v>26</v>
      </c>
      <c r="C43" s="2">
        <v>0</v>
      </c>
      <c r="D43" s="2">
        <v>1</v>
      </c>
      <c r="E43" s="2">
        <v>1</v>
      </c>
      <c r="F43" s="3">
        <f t="shared" si="21"/>
        <v>2.8813755166340185</v>
      </c>
      <c r="G43" s="3">
        <f t="shared" si="21"/>
        <v>3.1231620678595098</v>
      </c>
      <c r="H43" s="3">
        <f t="shared" si="21"/>
        <v>-0.97484712668773377</v>
      </c>
      <c r="I43" s="3">
        <f t="shared" si="21"/>
        <v>-2.9981160410241583</v>
      </c>
      <c r="J43" s="3">
        <f t="shared" si="21"/>
        <v>-2.633719019566426</v>
      </c>
      <c r="K43" s="3">
        <f t="shared" si="21"/>
        <v>3.8993066279349389</v>
      </c>
      <c r="L43" s="3">
        <f t="shared" si="21"/>
        <v>3.1764071032636783</v>
      </c>
      <c r="M43" s="3">
        <f t="shared" si="21"/>
        <v>3.1669632950840203</v>
      </c>
      <c r="N43" s="3">
        <f t="shared" si="21"/>
        <v>-5.0066601580457784</v>
      </c>
      <c r="O43" s="3">
        <f t="shared" si="0"/>
        <v>2.1483149411717761</v>
      </c>
      <c r="P43" s="3">
        <f t="shared" si="1"/>
        <v>0.89551120948784324</v>
      </c>
      <c r="Q43" s="3">
        <f t="shared" si="2"/>
        <v>1.2655876083685129</v>
      </c>
      <c r="R43" s="3">
        <f t="shared" si="3"/>
        <v>0.77998648363430445</v>
      </c>
      <c r="S43" s="3">
        <f t="shared" si="4"/>
        <v>0.30803657315515043</v>
      </c>
      <c r="T43" s="4">
        <f t="shared" si="5"/>
        <v>0.57640593870726287</v>
      </c>
      <c r="U43" s="1">
        <f t="shared" si="6"/>
        <v>1</v>
      </c>
      <c r="V43" s="3">
        <f t="shared" si="7"/>
        <v>0.42359406129273713</v>
      </c>
      <c r="W43" s="3">
        <f t="shared" si="8"/>
        <v>8.9715964381237578E-2</v>
      </c>
      <c r="X43" s="5" t="str">
        <f t="shared" si="22"/>
        <v>PASS</v>
      </c>
      <c r="Y43" s="3">
        <f t="shared" si="9"/>
        <v>0.1034256293323892</v>
      </c>
      <c r="Z43" s="3">
        <f t="shared" si="10"/>
        <v>3.0740084667001108E-2</v>
      </c>
      <c r="AA43" s="3">
        <f t="shared" si="11"/>
        <v>5.6209230675857681E-2</v>
      </c>
      <c r="AB43" s="3">
        <f t="shared" si="12"/>
        <v>2.8813755166340185</v>
      </c>
      <c r="AC43" s="3">
        <f t="shared" si="13"/>
        <v>3.2000122795270127</v>
      </c>
      <c r="AD43" s="3">
        <f t="shared" si="14"/>
        <v>-0.89799691502023093</v>
      </c>
      <c r="AE43" s="3">
        <f t="shared" si="15"/>
        <v>-2.9981160410241583</v>
      </c>
      <c r="AF43" s="3">
        <f t="shared" si="16"/>
        <v>-2.4931959428767816</v>
      </c>
      <c r="AG43" s="3">
        <f t="shared" si="17"/>
        <v>4.0398297046245828</v>
      </c>
      <c r="AH43" s="3">
        <f t="shared" si="18"/>
        <v>3.4079541293024014</v>
      </c>
      <c r="AI43" s="3">
        <f t="shared" si="19"/>
        <v>3.3686397774356083</v>
      </c>
      <c r="AJ43" s="11">
        <f t="shared" si="20"/>
        <v>-4.7480960847148053</v>
      </c>
    </row>
    <row r="44" spans="1:36" ht="18" customHeight="1" x14ac:dyDescent="0.25">
      <c r="A44" s="17">
        <v>7</v>
      </c>
      <c r="B44" s="2">
        <v>27</v>
      </c>
      <c r="C44" s="2">
        <v>1</v>
      </c>
      <c r="D44" s="2">
        <v>0</v>
      </c>
      <c r="E44" s="2">
        <v>1</v>
      </c>
      <c r="F44" s="3">
        <f t="shared" si="21"/>
        <v>2.8813755166340185</v>
      </c>
      <c r="G44" s="3">
        <f t="shared" si="21"/>
        <v>3.2000122795270127</v>
      </c>
      <c r="H44" s="3">
        <f t="shared" si="21"/>
        <v>-0.89799691502023093</v>
      </c>
      <c r="I44" s="3">
        <f t="shared" si="21"/>
        <v>-2.9981160410241583</v>
      </c>
      <c r="J44" s="3">
        <f t="shared" si="21"/>
        <v>-2.4931959428767816</v>
      </c>
      <c r="K44" s="3">
        <f t="shared" si="21"/>
        <v>4.0398297046245828</v>
      </c>
      <c r="L44" s="3">
        <f t="shared" si="21"/>
        <v>3.4079541293024014</v>
      </c>
      <c r="M44" s="3">
        <f t="shared" si="21"/>
        <v>3.3686397774356083</v>
      </c>
      <c r="N44" s="3">
        <f t="shared" si="21"/>
        <v>-4.7480960847148053</v>
      </c>
      <c r="O44" s="3">
        <f t="shared" si="0"/>
        <v>1.9833786016137875</v>
      </c>
      <c r="P44" s="3">
        <f t="shared" si="1"/>
        <v>0.87904086244394319</v>
      </c>
      <c r="Q44" s="3">
        <f t="shared" si="2"/>
        <v>1.0417136636004245</v>
      </c>
      <c r="R44" s="3">
        <f t="shared" si="3"/>
        <v>0.73918052326758021</v>
      </c>
      <c r="S44" s="3">
        <f t="shared" si="4"/>
        <v>0.73766776566141257</v>
      </c>
      <c r="T44" s="4">
        <f t="shared" si="5"/>
        <v>0.67648565042281439</v>
      </c>
      <c r="U44" s="1">
        <f t="shared" si="6"/>
        <v>1</v>
      </c>
      <c r="V44" s="3">
        <f t="shared" si="7"/>
        <v>0.32351434957718561</v>
      </c>
      <c r="W44" s="3">
        <f t="shared" si="8"/>
        <v>5.2330767191174729E-2</v>
      </c>
      <c r="X44" s="5" t="str">
        <f t="shared" si="22"/>
        <v>PASS</v>
      </c>
      <c r="Y44" s="3">
        <f t="shared" si="9"/>
        <v>7.0802026160893428E-2</v>
      </c>
      <c r="Z44" s="3">
        <f t="shared" si="10"/>
        <v>2.5655895160333331E-2</v>
      </c>
      <c r="AA44" s="3">
        <f t="shared" si="11"/>
        <v>4.5982310859631198E-2</v>
      </c>
      <c r="AB44" s="3">
        <f t="shared" si="12"/>
        <v>2.9455152545348517</v>
      </c>
      <c r="AC44" s="3">
        <f t="shared" si="13"/>
        <v>3.2000122795270127</v>
      </c>
      <c r="AD44" s="3">
        <f t="shared" si="14"/>
        <v>-0.83385717711939766</v>
      </c>
      <c r="AE44" s="3">
        <f t="shared" si="15"/>
        <v>-2.8831602638750802</v>
      </c>
      <c r="AF44" s="3">
        <f t="shared" si="16"/>
        <v>-2.4931959428767816</v>
      </c>
      <c r="AG44" s="3">
        <f t="shared" si="17"/>
        <v>4.1547854817736605</v>
      </c>
      <c r="AH44" s="3">
        <f t="shared" si="18"/>
        <v>3.5635488146505274</v>
      </c>
      <c r="AI44" s="3">
        <f t="shared" si="19"/>
        <v>3.4994784743006435</v>
      </c>
      <c r="AJ44" s="11">
        <f t="shared" si="20"/>
        <v>-4.571091019312572</v>
      </c>
    </row>
    <row r="45" spans="1:36" ht="18" customHeight="1" x14ac:dyDescent="0.25">
      <c r="A45" s="17">
        <v>7</v>
      </c>
      <c r="B45" s="2">
        <v>28</v>
      </c>
      <c r="C45" s="2">
        <v>1</v>
      </c>
      <c r="D45" s="2">
        <v>1</v>
      </c>
      <c r="E45" s="2">
        <v>0</v>
      </c>
      <c r="F45" s="3">
        <f t="shared" si="21"/>
        <v>2.9455152545348517</v>
      </c>
      <c r="G45" s="3">
        <f t="shared" si="21"/>
        <v>3.2000122795270127</v>
      </c>
      <c r="H45" s="3">
        <f t="shared" si="21"/>
        <v>-0.83385717711939766</v>
      </c>
      <c r="I45" s="3">
        <f t="shared" si="21"/>
        <v>-2.8831602638750802</v>
      </c>
      <c r="J45" s="3">
        <f t="shared" si="21"/>
        <v>-2.4931959428767816</v>
      </c>
      <c r="K45" s="3">
        <f t="shared" si="21"/>
        <v>4.1547854817736605</v>
      </c>
      <c r="L45" s="3">
        <f t="shared" si="21"/>
        <v>3.5635488146505274</v>
      </c>
      <c r="M45" s="3">
        <f t="shared" si="21"/>
        <v>3.4994784743006435</v>
      </c>
      <c r="N45" s="3">
        <f t="shared" si="21"/>
        <v>-4.571091019312572</v>
      </c>
      <c r="O45" s="3">
        <f t="shared" si="0"/>
        <v>5.311670356942467</v>
      </c>
      <c r="P45" s="3">
        <f t="shared" si="1"/>
        <v>0.99509054285829279</v>
      </c>
      <c r="Q45" s="3">
        <f t="shared" si="2"/>
        <v>-1.2215707249782009</v>
      </c>
      <c r="R45" s="3">
        <f t="shared" si="3"/>
        <v>0.22766015028330155</v>
      </c>
      <c r="S45" s="3">
        <f t="shared" si="4"/>
        <v>-0.22834549946748961</v>
      </c>
      <c r="T45" s="4">
        <f t="shared" si="5"/>
        <v>0.44316038678620101</v>
      </c>
      <c r="U45" s="1">
        <f t="shared" si="6"/>
        <v>0</v>
      </c>
      <c r="V45" s="3">
        <f t="shared" si="7"/>
        <v>-0.44316038678620101</v>
      </c>
      <c r="W45" s="3">
        <f t="shared" si="8"/>
        <v>9.819556420824764E-2</v>
      </c>
      <c r="X45" s="5" t="str">
        <f t="shared" si="22"/>
        <v>PASS</v>
      </c>
      <c r="Y45" s="3">
        <f t="shared" si="9"/>
        <v>-0.10935835998606275</v>
      </c>
      <c r="Z45" s="3">
        <f t="shared" si="10"/>
        <v>-1.9038414275244163E-3</v>
      </c>
      <c r="AA45" s="3">
        <f t="shared" si="11"/>
        <v>-6.7290038472005917E-2</v>
      </c>
      <c r="AB45" s="3">
        <f t="shared" si="12"/>
        <v>2.9407556509660409</v>
      </c>
      <c r="AC45" s="3">
        <f t="shared" si="13"/>
        <v>3.1952526759582018</v>
      </c>
      <c r="AD45" s="3">
        <f t="shared" si="14"/>
        <v>-0.83861678068820866</v>
      </c>
      <c r="AE45" s="3">
        <f t="shared" si="15"/>
        <v>-3.0513853600550949</v>
      </c>
      <c r="AF45" s="3">
        <f t="shared" si="16"/>
        <v>-2.6614210390567963</v>
      </c>
      <c r="AG45" s="3">
        <f t="shared" si="17"/>
        <v>3.9865603855936458</v>
      </c>
      <c r="AH45" s="3">
        <f t="shared" si="18"/>
        <v>3.2914951401389678</v>
      </c>
      <c r="AI45" s="3">
        <f t="shared" si="19"/>
        <v>3.4372371226277374</v>
      </c>
      <c r="AJ45" s="11">
        <f t="shared" si="20"/>
        <v>-4.8444869192777293</v>
      </c>
    </row>
    <row r="46" spans="1:36" ht="18" customHeight="1" x14ac:dyDescent="0.25">
      <c r="A46" s="17">
        <v>8</v>
      </c>
      <c r="B46" s="2">
        <v>29</v>
      </c>
      <c r="C46" s="2">
        <v>0</v>
      </c>
      <c r="D46" s="2">
        <v>0</v>
      </c>
      <c r="E46" s="2">
        <v>0</v>
      </c>
      <c r="F46" s="3">
        <f t="shared" si="21"/>
        <v>2.9407556509660409</v>
      </c>
      <c r="G46" s="3">
        <f t="shared" si="21"/>
        <v>3.1952526759582018</v>
      </c>
      <c r="H46" s="3">
        <f t="shared" si="21"/>
        <v>-0.83861678068820866</v>
      </c>
      <c r="I46" s="3">
        <f t="shared" si="21"/>
        <v>-3.0513853600550949</v>
      </c>
      <c r="J46" s="3">
        <f t="shared" si="21"/>
        <v>-2.6614210390567963</v>
      </c>
      <c r="K46" s="3">
        <f t="shared" si="21"/>
        <v>3.9865603855936458</v>
      </c>
      <c r="L46" s="3">
        <f t="shared" si="21"/>
        <v>3.2914951401389678</v>
      </c>
      <c r="M46" s="3">
        <f t="shared" si="21"/>
        <v>3.4372371226277374</v>
      </c>
      <c r="N46" s="3">
        <f t="shared" si="21"/>
        <v>-4.8444869192777293</v>
      </c>
      <c r="O46" s="3">
        <f t="shared" si="0"/>
        <v>-0.83861678068820866</v>
      </c>
      <c r="P46" s="3">
        <f t="shared" si="1"/>
        <v>0.30182618592128713</v>
      </c>
      <c r="Q46" s="3">
        <f t="shared" si="2"/>
        <v>3.9865603855936458</v>
      </c>
      <c r="R46" s="3">
        <f t="shared" si="3"/>
        <v>0.98177486590375929</v>
      </c>
      <c r="S46" s="3">
        <f t="shared" si="4"/>
        <v>-0.47643448000386179</v>
      </c>
      <c r="T46" s="4">
        <f t="shared" si="5"/>
        <v>0.38309442358849438</v>
      </c>
      <c r="U46" s="1">
        <f t="shared" si="6"/>
        <v>0</v>
      </c>
      <c r="V46" s="3">
        <f t="shared" si="7"/>
        <v>-0.38309442358849438</v>
      </c>
      <c r="W46" s="3">
        <f t="shared" si="8"/>
        <v>7.338066869230038E-2</v>
      </c>
      <c r="X46" s="5" t="str">
        <f t="shared" si="22"/>
        <v>PASS</v>
      </c>
      <c r="Y46" s="3">
        <f t="shared" si="9"/>
        <v>-9.0537887434170586E-2</v>
      </c>
      <c r="Z46" s="3">
        <f t="shared" si="10"/>
        <v>-6.2797744655392382E-2</v>
      </c>
      <c r="AA46" s="3">
        <f t="shared" si="11"/>
        <v>-5.5682982935459048E-3</v>
      </c>
      <c r="AB46" s="3">
        <f t="shared" si="12"/>
        <v>2.9407556509660409</v>
      </c>
      <c r="AC46" s="3">
        <f t="shared" si="13"/>
        <v>3.1952526759582018</v>
      </c>
      <c r="AD46" s="3">
        <f t="shared" si="14"/>
        <v>-0.99561114232668957</v>
      </c>
      <c r="AE46" s="3">
        <f t="shared" si="15"/>
        <v>-3.0513853600550949</v>
      </c>
      <c r="AF46" s="3">
        <f t="shared" si="16"/>
        <v>-2.6614210390567963</v>
      </c>
      <c r="AG46" s="3">
        <f t="shared" si="17"/>
        <v>3.9726396398597812</v>
      </c>
      <c r="AH46" s="3">
        <f t="shared" si="18"/>
        <v>3.2231783770249014</v>
      </c>
      <c r="AI46" s="3">
        <f t="shared" si="19"/>
        <v>3.2150175668905061</v>
      </c>
      <c r="AJ46" s="11">
        <f t="shared" si="20"/>
        <v>-5.0708316378631562</v>
      </c>
    </row>
    <row r="47" spans="1:36" ht="18" customHeight="1" x14ac:dyDescent="0.25">
      <c r="A47" s="17">
        <v>8</v>
      </c>
      <c r="B47" s="2">
        <v>30</v>
      </c>
      <c r="C47" s="2">
        <v>0</v>
      </c>
      <c r="D47" s="2">
        <v>1</v>
      </c>
      <c r="E47" s="2">
        <v>1</v>
      </c>
      <c r="F47" s="3">
        <f t="shared" si="21"/>
        <v>2.9407556509660409</v>
      </c>
      <c r="G47" s="3">
        <f t="shared" si="21"/>
        <v>3.1952526759582018</v>
      </c>
      <c r="H47" s="3">
        <f t="shared" si="21"/>
        <v>-0.99561114232668957</v>
      </c>
      <c r="I47" s="3">
        <f t="shared" ref="I47:N78" si="23">AE46</f>
        <v>-3.0513853600550949</v>
      </c>
      <c r="J47" s="3">
        <f t="shared" si="23"/>
        <v>-2.6614210390567963</v>
      </c>
      <c r="K47" s="3">
        <f t="shared" si="23"/>
        <v>3.9726396398597812</v>
      </c>
      <c r="L47" s="3">
        <f t="shared" si="23"/>
        <v>3.2231783770249014</v>
      </c>
      <c r="M47" s="3">
        <f t="shared" si="23"/>
        <v>3.2150175668905061</v>
      </c>
      <c r="N47" s="3">
        <f t="shared" si="23"/>
        <v>-5.0708316378631562</v>
      </c>
      <c r="O47" s="3">
        <f t="shared" si="0"/>
        <v>2.199641533631512</v>
      </c>
      <c r="P47" s="3">
        <f t="shared" si="1"/>
        <v>0.90021731586360776</v>
      </c>
      <c r="Q47" s="3">
        <f t="shared" si="2"/>
        <v>1.3112186008029849</v>
      </c>
      <c r="R47" s="3">
        <f t="shared" si="3"/>
        <v>0.78771700044213655</v>
      </c>
      <c r="S47" s="3">
        <f t="shared" si="4"/>
        <v>0.36325334341158566</v>
      </c>
      <c r="T47" s="4">
        <f t="shared" si="5"/>
        <v>0.5898277479950863</v>
      </c>
      <c r="U47" s="1">
        <f t="shared" si="6"/>
        <v>1</v>
      </c>
      <c r="V47" s="3">
        <f t="shared" si="7"/>
        <v>0.4101722520049137</v>
      </c>
      <c r="W47" s="3">
        <f t="shared" si="8"/>
        <v>8.4120638157391209E-2</v>
      </c>
      <c r="X47" s="5" t="str">
        <f t="shared" si="22"/>
        <v>PASS</v>
      </c>
      <c r="Y47" s="3">
        <f t="shared" si="9"/>
        <v>9.9233373128567171E-2</v>
      </c>
      <c r="Z47" s="3">
        <f t="shared" si="10"/>
        <v>2.8730596286379428E-2</v>
      </c>
      <c r="AA47" s="3">
        <f t="shared" si="11"/>
        <v>5.3349031348688257E-2</v>
      </c>
      <c r="AB47" s="3">
        <f t="shared" si="12"/>
        <v>2.9407556509660409</v>
      </c>
      <c r="AC47" s="3">
        <f t="shared" si="13"/>
        <v>3.2670791666741503</v>
      </c>
      <c r="AD47" s="3">
        <f t="shared" si="14"/>
        <v>-0.92378465161074097</v>
      </c>
      <c r="AE47" s="3">
        <f t="shared" si="15"/>
        <v>-3.0513853600550949</v>
      </c>
      <c r="AF47" s="3">
        <f t="shared" si="16"/>
        <v>-2.5280484606850755</v>
      </c>
      <c r="AG47" s="3">
        <f t="shared" si="17"/>
        <v>4.106012218231502</v>
      </c>
      <c r="AH47" s="3">
        <f t="shared" si="18"/>
        <v>3.4465073790296277</v>
      </c>
      <c r="AI47" s="3">
        <f t="shared" si="19"/>
        <v>3.4104371044519817</v>
      </c>
      <c r="AJ47" s="11">
        <f t="shared" si="20"/>
        <v>-4.8227482050417381</v>
      </c>
    </row>
    <row r="48" spans="1:36" ht="18" customHeight="1" x14ac:dyDescent="0.25">
      <c r="A48" s="17">
        <v>8</v>
      </c>
      <c r="B48" s="2">
        <v>31</v>
      </c>
      <c r="C48" s="2">
        <v>1</v>
      </c>
      <c r="D48" s="2">
        <v>0</v>
      </c>
      <c r="E48" s="2">
        <v>1</v>
      </c>
      <c r="F48" s="3">
        <f t="shared" ref="F48:N79" si="24">AB47</f>
        <v>2.9407556509660409</v>
      </c>
      <c r="G48" s="3">
        <f t="shared" si="24"/>
        <v>3.2670791666741503</v>
      </c>
      <c r="H48" s="3">
        <f t="shared" si="24"/>
        <v>-0.92378465161074097</v>
      </c>
      <c r="I48" s="3">
        <f t="shared" si="23"/>
        <v>-3.0513853600550949</v>
      </c>
      <c r="J48" s="3">
        <f t="shared" si="23"/>
        <v>-2.5280484606850755</v>
      </c>
      <c r="K48" s="3">
        <f t="shared" si="23"/>
        <v>4.106012218231502</v>
      </c>
      <c r="L48" s="3">
        <f t="shared" si="23"/>
        <v>3.4465073790296277</v>
      </c>
      <c r="M48" s="3">
        <f t="shared" si="23"/>
        <v>3.4104371044519817</v>
      </c>
      <c r="N48" s="3">
        <f t="shared" si="23"/>
        <v>-4.8227482050417381</v>
      </c>
      <c r="O48" s="3">
        <f t="shared" si="0"/>
        <v>2.0169709993553</v>
      </c>
      <c r="P48" s="3">
        <f t="shared" si="1"/>
        <v>0.88256744057676573</v>
      </c>
      <c r="Q48" s="3">
        <f t="shared" si="2"/>
        <v>1.0546268581764071</v>
      </c>
      <c r="R48" s="3">
        <f t="shared" si="3"/>
        <v>0.74166239267086598</v>
      </c>
      <c r="S48" s="3">
        <f t="shared" si="4"/>
        <v>0.74841993433873366</v>
      </c>
      <c r="T48" s="4">
        <f t="shared" si="5"/>
        <v>0.67883431334915112</v>
      </c>
      <c r="U48" s="1">
        <f t="shared" si="6"/>
        <v>1</v>
      </c>
      <c r="V48" s="3">
        <f t="shared" si="7"/>
        <v>0.32116568665084888</v>
      </c>
      <c r="W48" s="3">
        <f t="shared" si="8"/>
        <v>5.1573699140955623E-2</v>
      </c>
      <c r="X48" s="5" t="str">
        <f t="shared" si="22"/>
        <v>PASS</v>
      </c>
      <c r="Y48" s="3">
        <f t="shared" si="9"/>
        <v>7.0019993286452642E-2</v>
      </c>
      <c r="Z48" s="3">
        <f t="shared" si="10"/>
        <v>2.5011382926384863E-2</v>
      </c>
      <c r="AA48" s="3">
        <f t="shared" si="11"/>
        <v>4.5753676820761785E-2</v>
      </c>
      <c r="AB48" s="3">
        <f t="shared" si="12"/>
        <v>3.0032841082820032</v>
      </c>
      <c r="AC48" s="3">
        <f t="shared" si="13"/>
        <v>3.2670791666741503</v>
      </c>
      <c r="AD48" s="3">
        <f t="shared" si="14"/>
        <v>-0.86125619429477884</v>
      </c>
      <c r="AE48" s="3">
        <f t="shared" si="15"/>
        <v>-2.9370011680031904</v>
      </c>
      <c r="AF48" s="3">
        <f t="shared" si="16"/>
        <v>-2.5280484606850755</v>
      </c>
      <c r="AG48" s="3">
        <f t="shared" si="17"/>
        <v>4.2203964102834064</v>
      </c>
      <c r="AH48" s="3">
        <f t="shared" si="18"/>
        <v>3.6010007946896949</v>
      </c>
      <c r="AI48" s="3">
        <f t="shared" si="19"/>
        <v>3.5402650938410529</v>
      </c>
      <c r="AJ48" s="11">
        <f t="shared" si="20"/>
        <v>-4.6476982218256069</v>
      </c>
    </row>
    <row r="49" spans="1:36" ht="18" customHeight="1" x14ac:dyDescent="0.25">
      <c r="A49" s="17">
        <v>8</v>
      </c>
      <c r="B49" s="2">
        <v>32</v>
      </c>
      <c r="C49" s="2">
        <v>1</v>
      </c>
      <c r="D49" s="2">
        <v>1</v>
      </c>
      <c r="E49" s="2">
        <v>0</v>
      </c>
      <c r="F49" s="3">
        <f t="shared" si="24"/>
        <v>3.0032841082820032</v>
      </c>
      <c r="G49" s="3">
        <f t="shared" si="24"/>
        <v>3.2670791666741503</v>
      </c>
      <c r="H49" s="3">
        <f t="shared" si="24"/>
        <v>-0.86125619429477884</v>
      </c>
      <c r="I49" s="3">
        <f t="shared" si="23"/>
        <v>-2.9370011680031904</v>
      </c>
      <c r="J49" s="3">
        <f t="shared" si="23"/>
        <v>-2.5280484606850755</v>
      </c>
      <c r="K49" s="3">
        <f t="shared" si="23"/>
        <v>4.2203964102834064</v>
      </c>
      <c r="L49" s="3">
        <f t="shared" si="23"/>
        <v>3.6010007946896949</v>
      </c>
      <c r="M49" s="3">
        <f t="shared" si="23"/>
        <v>3.5402650938410529</v>
      </c>
      <c r="N49" s="3">
        <f t="shared" si="23"/>
        <v>-4.6476982218256069</v>
      </c>
      <c r="O49" s="3">
        <f t="shared" si="0"/>
        <v>5.409107080661375</v>
      </c>
      <c r="P49" s="3">
        <f t="shared" si="1"/>
        <v>0.9955443072450606</v>
      </c>
      <c r="Q49" s="3">
        <f t="shared" si="2"/>
        <v>-1.24465321840486</v>
      </c>
      <c r="R49" s="3">
        <f t="shared" si="3"/>
        <v>0.22362706442335079</v>
      </c>
      <c r="S49" s="3">
        <f t="shared" si="4"/>
        <v>-0.27104329007120853</v>
      </c>
      <c r="T49" s="4">
        <f t="shared" si="5"/>
        <v>0.43265098679320446</v>
      </c>
      <c r="U49" s="1">
        <f t="shared" si="6"/>
        <v>0</v>
      </c>
      <c r="V49" s="3">
        <f t="shared" si="7"/>
        <v>-0.43265098679320446</v>
      </c>
      <c r="W49" s="3">
        <f t="shared" si="8"/>
        <v>9.3593438186566791E-2</v>
      </c>
      <c r="X49" s="5" t="str">
        <f t="shared" si="22"/>
        <v>PASS</v>
      </c>
      <c r="Y49" s="3">
        <f t="shared" si="9"/>
        <v>-0.10620028959555977</v>
      </c>
      <c r="Z49" s="3">
        <f t="shared" si="10"/>
        <v>-1.6963862658090777E-3</v>
      </c>
      <c r="AA49" s="3">
        <f t="shared" si="11"/>
        <v>-6.5276405907381693E-2</v>
      </c>
      <c r="AB49" s="3">
        <f t="shared" si="12"/>
        <v>2.9990431426174804</v>
      </c>
      <c r="AC49" s="3">
        <f t="shared" si="13"/>
        <v>3.2628382010096275</v>
      </c>
      <c r="AD49" s="3">
        <f t="shared" si="14"/>
        <v>-0.86549715995930154</v>
      </c>
      <c r="AE49" s="3">
        <f t="shared" si="15"/>
        <v>-3.1001921827716448</v>
      </c>
      <c r="AF49" s="3">
        <f t="shared" si="16"/>
        <v>-2.6912394754535298</v>
      </c>
      <c r="AG49" s="3">
        <f t="shared" si="17"/>
        <v>4.0572053955149521</v>
      </c>
      <c r="AH49" s="3">
        <f t="shared" si="18"/>
        <v>3.3366830603531041</v>
      </c>
      <c r="AI49" s="3">
        <f t="shared" si="19"/>
        <v>3.4808919463331409</v>
      </c>
      <c r="AJ49" s="11">
        <f t="shared" si="20"/>
        <v>-4.9131989458145062</v>
      </c>
    </row>
    <row r="50" spans="1:36" ht="18" customHeight="1" x14ac:dyDescent="0.25">
      <c r="A50" s="17">
        <v>9</v>
      </c>
      <c r="B50" s="2">
        <v>33</v>
      </c>
      <c r="C50" s="2">
        <v>0</v>
      </c>
      <c r="D50" s="2">
        <v>0</v>
      </c>
      <c r="E50" s="2">
        <v>0</v>
      </c>
      <c r="F50" s="3">
        <f t="shared" si="24"/>
        <v>2.9990431426174804</v>
      </c>
      <c r="G50" s="3">
        <f t="shared" si="24"/>
        <v>3.2628382010096275</v>
      </c>
      <c r="H50" s="3">
        <f t="shared" si="24"/>
        <v>-0.86549715995930154</v>
      </c>
      <c r="I50" s="3">
        <f t="shared" si="23"/>
        <v>-3.1001921827716448</v>
      </c>
      <c r="J50" s="3">
        <f t="shared" si="23"/>
        <v>-2.6912394754535298</v>
      </c>
      <c r="K50" s="3">
        <f t="shared" si="23"/>
        <v>4.0572053955149521</v>
      </c>
      <c r="L50" s="3">
        <f t="shared" si="23"/>
        <v>3.3366830603531041</v>
      </c>
      <c r="M50" s="3">
        <f t="shared" si="23"/>
        <v>3.4808919463331409</v>
      </c>
      <c r="N50" s="3">
        <f t="shared" si="23"/>
        <v>-4.9131989458145062</v>
      </c>
      <c r="O50" s="3">
        <f t="shared" si="0"/>
        <v>-0.86549715995930154</v>
      </c>
      <c r="P50" s="3">
        <f t="shared" si="1"/>
        <v>0.29619211236912685</v>
      </c>
      <c r="Q50" s="3">
        <f t="shared" si="2"/>
        <v>4.0572053955149521</v>
      </c>
      <c r="R50" s="3">
        <f t="shared" si="3"/>
        <v>0.98299681825763074</v>
      </c>
      <c r="S50" s="3">
        <f t="shared" si="4"/>
        <v>-0.50319403391814888</v>
      </c>
      <c r="T50" s="4">
        <f t="shared" si="5"/>
        <v>0.3767903530862971</v>
      </c>
      <c r="U50" s="1">
        <f t="shared" ref="U50:U81" si="25">IF(T50&gt;=0.5, 1, 0)</f>
        <v>0</v>
      </c>
      <c r="V50" s="3">
        <f t="shared" si="7"/>
        <v>-0.3767903530862971</v>
      </c>
      <c r="W50" s="3">
        <f t="shared" ref="W50:W81" si="26">0.5*(V50^2)</f>
        <v>7.0985485089448214E-2</v>
      </c>
      <c r="X50" s="5" t="str">
        <f t="shared" si="22"/>
        <v>PASS</v>
      </c>
      <c r="Y50" s="3">
        <f t="shared" ref="Y50:Y81" si="27">V50*T50*(1-T50)</f>
        <v>-8.8477678197185897E-2</v>
      </c>
      <c r="Z50" s="3">
        <f t="shared" ref="Z50:Z81" si="28">Y50*L50*P50*(1-P50)</f>
        <v>-6.1542664156333172E-2</v>
      </c>
      <c r="AA50" s="3">
        <f t="shared" ref="AA50:AA81" si="29">Y50*M50*R50*(1-R50)</f>
        <v>-5.1476210559663243E-3</v>
      </c>
      <c r="AB50" s="3">
        <f t="shared" ref="AB50:AB81" si="30">F50+$D$5*Z50*C50</f>
        <v>2.9990431426174804</v>
      </c>
      <c r="AC50" s="3">
        <f t="shared" ref="AC50:AC81" si="31">G50+$D$5*Z50*D50</f>
        <v>3.2628382010096275</v>
      </c>
      <c r="AD50" s="3">
        <f t="shared" ref="AD50:AD81" si="32">H50+$D$5*Z50</f>
        <v>-1.0193538203501344</v>
      </c>
      <c r="AE50" s="3">
        <f t="shared" ref="AE50:AE81" si="33">I50+$D$5*AA50*C50</f>
        <v>-3.1001921827716448</v>
      </c>
      <c r="AF50" s="3">
        <f t="shared" ref="AF50:AF81" si="34">J50+$D$5*AA50*D50</f>
        <v>-2.6912394754535298</v>
      </c>
      <c r="AG50" s="3">
        <f t="shared" ref="AG50:AG81" si="35">K50+$D$5*AA50</f>
        <v>4.0443363428750363</v>
      </c>
      <c r="AH50" s="3">
        <f t="shared" ref="AH50:AH81" si="36">L50+$D$5*Y50*P50</f>
        <v>3.2711670843462533</v>
      </c>
      <c r="AI50" s="3">
        <f t="shared" ref="AI50:AI81" si="37">M50+$D$5*Y50*R50</f>
        <v>3.2634587559465</v>
      </c>
      <c r="AJ50" s="11">
        <f t="shared" ref="AJ50:AJ81" si="38">N50+$D$5*Y50</f>
        <v>-5.1343931413074708</v>
      </c>
    </row>
    <row r="51" spans="1:36" ht="18" customHeight="1" x14ac:dyDescent="0.25">
      <c r="A51" s="17">
        <v>9</v>
      </c>
      <c r="B51" s="2">
        <v>34</v>
      </c>
      <c r="C51" s="2">
        <v>0</v>
      </c>
      <c r="D51" s="2">
        <v>1</v>
      </c>
      <c r="E51" s="2">
        <v>1</v>
      </c>
      <c r="F51" s="3">
        <f t="shared" si="24"/>
        <v>2.9990431426174804</v>
      </c>
      <c r="G51" s="3">
        <f t="shared" si="24"/>
        <v>3.2628382010096275</v>
      </c>
      <c r="H51" s="3">
        <f t="shared" si="24"/>
        <v>-1.0193538203501344</v>
      </c>
      <c r="I51" s="3">
        <f t="shared" si="23"/>
        <v>-3.1001921827716448</v>
      </c>
      <c r="J51" s="3">
        <f t="shared" si="23"/>
        <v>-2.6912394754535298</v>
      </c>
      <c r="K51" s="3">
        <f t="shared" si="23"/>
        <v>4.0443363428750363</v>
      </c>
      <c r="L51" s="3">
        <f t="shared" si="23"/>
        <v>3.2711670843462533</v>
      </c>
      <c r="M51" s="3">
        <f t="shared" si="23"/>
        <v>3.2634587559465</v>
      </c>
      <c r="N51" s="3">
        <f t="shared" si="23"/>
        <v>-5.1343931413074708</v>
      </c>
      <c r="O51" s="3">
        <f t="shared" si="0"/>
        <v>2.2434843806594928</v>
      </c>
      <c r="P51" s="3">
        <f t="shared" si="1"/>
        <v>0.9040870274479138</v>
      </c>
      <c r="Q51" s="3">
        <f t="shared" si="2"/>
        <v>1.3530968674215065</v>
      </c>
      <c r="R51" s="3">
        <f t="shared" si="3"/>
        <v>0.79463546695951548</v>
      </c>
      <c r="S51" s="3">
        <f t="shared" si="4"/>
        <v>0.41628665669925891</v>
      </c>
      <c r="T51" s="4">
        <f t="shared" si="5"/>
        <v>0.60259433886779812</v>
      </c>
      <c r="U51" s="1">
        <f t="shared" si="25"/>
        <v>1</v>
      </c>
      <c r="V51" s="3">
        <f t="shared" si="7"/>
        <v>0.39740566113220188</v>
      </c>
      <c r="W51" s="3">
        <f t="shared" si="26"/>
        <v>7.8965629749961241E-2</v>
      </c>
      <c r="X51" s="5" t="str">
        <f t="shared" si="22"/>
        <v>PASS</v>
      </c>
      <c r="Y51" s="3">
        <f t="shared" si="27"/>
        <v>9.5168482904914434E-2</v>
      </c>
      <c r="Z51" s="3">
        <f t="shared" si="28"/>
        <v>2.6995008115963517E-2</v>
      </c>
      <c r="AA51" s="3">
        <f t="shared" si="29"/>
        <v>5.0683274033431411E-2</v>
      </c>
      <c r="AB51" s="3">
        <f t="shared" si="30"/>
        <v>2.9990431426174804</v>
      </c>
      <c r="AC51" s="3">
        <f t="shared" si="31"/>
        <v>3.3303257212995363</v>
      </c>
      <c r="AD51" s="3">
        <f t="shared" si="32"/>
        <v>-0.95186630006022566</v>
      </c>
      <c r="AE51" s="3">
        <f t="shared" si="33"/>
        <v>-3.1001921827716448</v>
      </c>
      <c r="AF51" s="3">
        <f t="shared" si="34"/>
        <v>-2.5645312903699513</v>
      </c>
      <c r="AG51" s="3">
        <f t="shared" si="35"/>
        <v>4.1710445279586148</v>
      </c>
      <c r="AH51" s="3">
        <f t="shared" si="36"/>
        <v>3.4862685613868325</v>
      </c>
      <c r="AI51" s="3">
        <f t="shared" si="37"/>
        <v>3.4525193855789382</v>
      </c>
      <c r="AJ51" s="11">
        <f t="shared" si="38"/>
        <v>-4.8964719340451843</v>
      </c>
    </row>
    <row r="52" spans="1:36" ht="18" customHeight="1" x14ac:dyDescent="0.25">
      <c r="A52" s="17">
        <v>9</v>
      </c>
      <c r="B52" s="2">
        <v>35</v>
      </c>
      <c r="C52" s="2">
        <v>1</v>
      </c>
      <c r="D52" s="2">
        <v>0</v>
      </c>
      <c r="E52" s="2">
        <v>1</v>
      </c>
      <c r="F52" s="3">
        <f t="shared" si="24"/>
        <v>2.9990431426174804</v>
      </c>
      <c r="G52" s="3">
        <f t="shared" si="24"/>
        <v>3.3303257212995363</v>
      </c>
      <c r="H52" s="3">
        <f t="shared" si="24"/>
        <v>-0.95186630006022566</v>
      </c>
      <c r="I52" s="3">
        <f t="shared" si="23"/>
        <v>-3.1001921827716448</v>
      </c>
      <c r="J52" s="3">
        <f t="shared" si="23"/>
        <v>-2.5645312903699513</v>
      </c>
      <c r="K52" s="3">
        <f t="shared" si="23"/>
        <v>4.1710445279586148</v>
      </c>
      <c r="L52" s="3">
        <f t="shared" si="23"/>
        <v>3.4862685613868325</v>
      </c>
      <c r="M52" s="3">
        <f t="shared" si="23"/>
        <v>3.4525193855789382</v>
      </c>
      <c r="N52" s="3">
        <f t="shared" si="23"/>
        <v>-4.8964719340451843</v>
      </c>
      <c r="O52" s="3">
        <f t="shared" si="0"/>
        <v>2.0471768425572545</v>
      </c>
      <c r="P52" s="3">
        <f t="shared" si="1"/>
        <v>0.88566204339919108</v>
      </c>
      <c r="Q52" s="3">
        <f t="shared" si="2"/>
        <v>1.07085234518697</v>
      </c>
      <c r="R52" s="3">
        <f t="shared" si="3"/>
        <v>0.74475897451767326</v>
      </c>
      <c r="S52" s="3">
        <f t="shared" si="4"/>
        <v>0.76247860097719311</v>
      </c>
      <c r="T52" s="4">
        <f t="shared" si="5"/>
        <v>0.68189162282926563</v>
      </c>
      <c r="U52" s="1">
        <f t="shared" si="25"/>
        <v>1</v>
      </c>
      <c r="V52" s="3">
        <f t="shared" si="7"/>
        <v>0.31810837717073437</v>
      </c>
      <c r="W52" s="3">
        <f t="shared" si="26"/>
        <v>5.05964698130991E-2</v>
      </c>
      <c r="X52" s="5" t="str">
        <f t="shared" si="22"/>
        <v>PASS</v>
      </c>
      <c r="Y52" s="3">
        <f t="shared" si="27"/>
        <v>6.9002617820572196E-2</v>
      </c>
      <c r="Z52" s="3">
        <f t="shared" si="28"/>
        <v>2.4360425280999257E-2</v>
      </c>
      <c r="AA52" s="3">
        <f t="shared" si="29"/>
        <v>4.5286412612755816E-2</v>
      </c>
      <c r="AB52" s="3">
        <f t="shared" si="30"/>
        <v>3.0599442058199786</v>
      </c>
      <c r="AC52" s="3">
        <f t="shared" si="31"/>
        <v>3.3303257212995363</v>
      </c>
      <c r="AD52" s="3">
        <f t="shared" si="32"/>
        <v>-0.89096523685772755</v>
      </c>
      <c r="AE52" s="3">
        <f t="shared" si="33"/>
        <v>-2.9869761512397552</v>
      </c>
      <c r="AF52" s="3">
        <f t="shared" si="34"/>
        <v>-2.5645312903699513</v>
      </c>
      <c r="AG52" s="3">
        <f t="shared" si="35"/>
        <v>4.2842605594905043</v>
      </c>
      <c r="AH52" s="3">
        <f t="shared" si="36"/>
        <v>3.639051060133986</v>
      </c>
      <c r="AI52" s="3">
        <f t="shared" si="37"/>
        <v>3.5809951827966491</v>
      </c>
      <c r="AJ52" s="11">
        <f t="shared" si="38"/>
        <v>-4.7239653894937534</v>
      </c>
    </row>
    <row r="53" spans="1:36" ht="18" customHeight="1" x14ac:dyDescent="0.25">
      <c r="A53" s="17">
        <v>9</v>
      </c>
      <c r="B53" s="2">
        <v>36</v>
      </c>
      <c r="C53" s="2">
        <v>1</v>
      </c>
      <c r="D53" s="2">
        <v>1</v>
      </c>
      <c r="E53" s="2">
        <v>0</v>
      </c>
      <c r="F53" s="3">
        <f t="shared" si="24"/>
        <v>3.0599442058199786</v>
      </c>
      <c r="G53" s="3">
        <f t="shared" si="24"/>
        <v>3.3303257212995363</v>
      </c>
      <c r="H53" s="3">
        <f t="shared" si="24"/>
        <v>-0.89096523685772755</v>
      </c>
      <c r="I53" s="3">
        <f t="shared" si="23"/>
        <v>-2.9869761512397552</v>
      </c>
      <c r="J53" s="3">
        <f t="shared" si="23"/>
        <v>-2.5645312903699513</v>
      </c>
      <c r="K53" s="3">
        <f t="shared" si="23"/>
        <v>4.2842605594905043</v>
      </c>
      <c r="L53" s="3">
        <f t="shared" si="23"/>
        <v>3.639051060133986</v>
      </c>
      <c r="M53" s="3">
        <f t="shared" si="23"/>
        <v>3.5809951827966491</v>
      </c>
      <c r="N53" s="3">
        <f t="shared" si="23"/>
        <v>-4.7239653894937534</v>
      </c>
      <c r="O53" s="3">
        <f t="shared" si="0"/>
        <v>5.4993046902617877</v>
      </c>
      <c r="P53" s="3">
        <f t="shared" si="1"/>
        <v>0.99592704282412359</v>
      </c>
      <c r="Q53" s="3">
        <f t="shared" si="2"/>
        <v>-1.2672468821192018</v>
      </c>
      <c r="R53" s="3">
        <f t="shared" si="3"/>
        <v>0.21972890471959755</v>
      </c>
      <c r="S53" s="3">
        <f t="shared" si="4"/>
        <v>-0.31288787916645777</v>
      </c>
      <c r="T53" s="4">
        <f t="shared" si="5"/>
        <v>0.42240999728905521</v>
      </c>
      <c r="U53" s="1">
        <f t="shared" si="25"/>
        <v>0</v>
      </c>
      <c r="V53" s="3">
        <f t="shared" si="7"/>
        <v>-0.42240999728905521</v>
      </c>
      <c r="W53" s="3">
        <f t="shared" si="26"/>
        <v>8.9215102904869809E-2</v>
      </c>
      <c r="X53" s="5" t="str">
        <f t="shared" si="22"/>
        <v>PASS</v>
      </c>
      <c r="Y53" s="3">
        <f t="shared" si="27"/>
        <v>-0.10305950305736196</v>
      </c>
      <c r="Z53" s="3">
        <f t="shared" si="28"/>
        <v>-1.5212954355658256E-3</v>
      </c>
      <c r="AA53" s="3">
        <f t="shared" si="29"/>
        <v>-6.3273883522647068E-2</v>
      </c>
      <c r="AB53" s="3">
        <f t="shared" si="30"/>
        <v>3.0561409672310642</v>
      </c>
      <c r="AC53" s="3">
        <f t="shared" si="31"/>
        <v>3.3265224827106219</v>
      </c>
      <c r="AD53" s="3">
        <f t="shared" si="32"/>
        <v>-0.89476847544664206</v>
      </c>
      <c r="AE53" s="3">
        <f t="shared" si="33"/>
        <v>-3.145160860046373</v>
      </c>
      <c r="AF53" s="3">
        <f t="shared" si="34"/>
        <v>-2.722715999176569</v>
      </c>
      <c r="AG53" s="3">
        <f t="shared" si="35"/>
        <v>4.126075850683887</v>
      </c>
      <c r="AH53" s="3">
        <f t="shared" si="36"/>
        <v>3.3824516948468806</v>
      </c>
      <c r="AI53" s="3">
        <f t="shared" si="37"/>
        <v>3.5243823034772985</v>
      </c>
      <c r="AJ53" s="11">
        <f t="shared" si="38"/>
        <v>-4.981614147137158</v>
      </c>
    </row>
    <row r="54" spans="1:36" ht="18" customHeight="1" x14ac:dyDescent="0.25">
      <c r="A54" s="17">
        <v>10</v>
      </c>
      <c r="B54" s="2">
        <v>37</v>
      </c>
      <c r="C54" s="2">
        <v>0</v>
      </c>
      <c r="D54" s="2">
        <v>0</v>
      </c>
      <c r="E54" s="2">
        <v>0</v>
      </c>
      <c r="F54" s="3">
        <f t="shared" si="24"/>
        <v>3.0561409672310642</v>
      </c>
      <c r="G54" s="3">
        <f t="shared" si="24"/>
        <v>3.3265224827106219</v>
      </c>
      <c r="H54" s="3">
        <f t="shared" si="24"/>
        <v>-0.89476847544664206</v>
      </c>
      <c r="I54" s="3">
        <f t="shared" si="23"/>
        <v>-3.145160860046373</v>
      </c>
      <c r="J54" s="3">
        <f t="shared" si="23"/>
        <v>-2.722715999176569</v>
      </c>
      <c r="K54" s="3">
        <f t="shared" si="23"/>
        <v>4.126075850683887</v>
      </c>
      <c r="L54" s="3">
        <f t="shared" si="23"/>
        <v>3.3824516948468806</v>
      </c>
      <c r="M54" s="3">
        <f t="shared" si="23"/>
        <v>3.5243823034772985</v>
      </c>
      <c r="N54" s="3">
        <f t="shared" si="23"/>
        <v>-4.981614147137158</v>
      </c>
      <c r="O54" s="3">
        <f t="shared" si="0"/>
        <v>-0.89476847544664206</v>
      </c>
      <c r="P54" s="3">
        <f t="shared" si="1"/>
        <v>0.29012676257672848</v>
      </c>
      <c r="Q54" s="3">
        <f t="shared" si="2"/>
        <v>4.126075850683887</v>
      </c>
      <c r="R54" s="3">
        <f t="shared" si="3"/>
        <v>0.98411044021815575</v>
      </c>
      <c r="S54" s="3">
        <f t="shared" si="4"/>
        <v>-0.53189296716694212</v>
      </c>
      <c r="T54" s="4">
        <f t="shared" si="5"/>
        <v>0.3700754918154332</v>
      </c>
      <c r="U54" s="1">
        <f t="shared" si="25"/>
        <v>0</v>
      </c>
      <c r="V54" s="3">
        <f t="shared" si="7"/>
        <v>-0.3700754918154332</v>
      </c>
      <c r="W54" s="3">
        <f t="shared" si="26"/>
        <v>6.8477934821217376E-2</v>
      </c>
      <c r="X54" s="5" t="str">
        <f t="shared" si="22"/>
        <v>PASS</v>
      </c>
      <c r="Y54" s="3">
        <f t="shared" si="27"/>
        <v>-8.6271858827500353E-2</v>
      </c>
      <c r="Z54" s="3">
        <f t="shared" si="28"/>
        <v>-6.0099291731638541E-2</v>
      </c>
      <c r="AA54" s="3">
        <f t="shared" si="29"/>
        <v>-4.7545330637989618E-3</v>
      </c>
      <c r="AB54" s="3">
        <f t="shared" si="30"/>
        <v>3.0561409672310642</v>
      </c>
      <c r="AC54" s="3">
        <f t="shared" si="31"/>
        <v>3.3265224827106219</v>
      </c>
      <c r="AD54" s="3">
        <f t="shared" si="32"/>
        <v>-1.0450167047757384</v>
      </c>
      <c r="AE54" s="3">
        <f t="shared" si="33"/>
        <v>-3.145160860046373</v>
      </c>
      <c r="AF54" s="3">
        <f t="shared" si="34"/>
        <v>-2.722715999176569</v>
      </c>
      <c r="AG54" s="3">
        <f t="shared" si="35"/>
        <v>4.1141895180243893</v>
      </c>
      <c r="AH54" s="3">
        <f t="shared" si="36"/>
        <v>3.3198772570891326</v>
      </c>
      <c r="AI54" s="3">
        <f t="shared" si="37"/>
        <v>3.3121297110543737</v>
      </c>
      <c r="AJ54" s="11">
        <f t="shared" si="38"/>
        <v>-5.1972937942059092</v>
      </c>
    </row>
    <row r="55" spans="1:36" ht="18" customHeight="1" x14ac:dyDescent="0.25">
      <c r="A55" s="17">
        <v>10</v>
      </c>
      <c r="B55" s="2">
        <v>38</v>
      </c>
      <c r="C55" s="2">
        <v>0</v>
      </c>
      <c r="D55" s="2">
        <v>1</v>
      </c>
      <c r="E55" s="2">
        <v>1</v>
      </c>
      <c r="F55" s="3">
        <f t="shared" si="24"/>
        <v>3.0561409672310642</v>
      </c>
      <c r="G55" s="3">
        <f t="shared" si="24"/>
        <v>3.3265224827106219</v>
      </c>
      <c r="H55" s="3">
        <f t="shared" si="24"/>
        <v>-1.0450167047757384</v>
      </c>
      <c r="I55" s="3">
        <f t="shared" si="23"/>
        <v>-3.145160860046373</v>
      </c>
      <c r="J55" s="3">
        <f t="shared" si="23"/>
        <v>-2.722715999176569</v>
      </c>
      <c r="K55" s="3">
        <f t="shared" si="23"/>
        <v>4.1141895180243893</v>
      </c>
      <c r="L55" s="3">
        <f t="shared" si="23"/>
        <v>3.3198772570891326</v>
      </c>
      <c r="M55" s="3">
        <f t="shared" si="23"/>
        <v>3.3121297110543737</v>
      </c>
      <c r="N55" s="3">
        <f t="shared" si="23"/>
        <v>-5.1972937942059092</v>
      </c>
      <c r="O55" s="3">
        <f t="shared" si="0"/>
        <v>2.2815057779348837</v>
      </c>
      <c r="P55" s="3">
        <f t="shared" si="1"/>
        <v>0.90733372921393984</v>
      </c>
      <c r="Q55" s="3">
        <f t="shared" si="2"/>
        <v>1.3914735188478202</v>
      </c>
      <c r="R55" s="3">
        <f t="shared" si="3"/>
        <v>0.80082737785090963</v>
      </c>
      <c r="S55" s="3">
        <f t="shared" si="4"/>
        <v>0.4673869696070847</v>
      </c>
      <c r="T55" s="4">
        <f t="shared" si="5"/>
        <v>0.61476510096777415</v>
      </c>
      <c r="U55" s="1">
        <f t="shared" si="25"/>
        <v>1</v>
      </c>
      <c r="V55" s="3">
        <f t="shared" si="7"/>
        <v>0.38523489903222585</v>
      </c>
      <c r="W55" s="3">
        <f t="shared" si="26"/>
        <v>7.4202963716184622E-2</v>
      </c>
      <c r="X55" s="5" t="str">
        <f t="shared" si="22"/>
        <v>PASS</v>
      </c>
      <c r="Y55" s="3">
        <f t="shared" si="27"/>
        <v>9.1234784962176643E-2</v>
      </c>
      <c r="Z55" s="3">
        <f t="shared" si="28"/>
        <v>2.5466614923937123E-2</v>
      </c>
      <c r="AA55" s="3">
        <f t="shared" si="29"/>
        <v>4.8198812914015982E-2</v>
      </c>
      <c r="AB55" s="3">
        <f t="shared" si="30"/>
        <v>3.0561409672310642</v>
      </c>
      <c r="AC55" s="3">
        <f t="shared" si="31"/>
        <v>3.3901890200204647</v>
      </c>
      <c r="AD55" s="3">
        <f t="shared" si="32"/>
        <v>-0.98135016746589554</v>
      </c>
      <c r="AE55" s="3">
        <f t="shared" si="33"/>
        <v>-3.145160860046373</v>
      </c>
      <c r="AF55" s="3">
        <f t="shared" si="34"/>
        <v>-2.6022189668915292</v>
      </c>
      <c r="AG55" s="3">
        <f t="shared" si="35"/>
        <v>4.2346865503094291</v>
      </c>
      <c r="AH55" s="3">
        <f t="shared" si="36"/>
        <v>3.5268282512735416</v>
      </c>
      <c r="AI55" s="3">
        <f t="shared" si="37"/>
        <v>3.4947879950795024</v>
      </c>
      <c r="AJ55" s="11">
        <f t="shared" si="38"/>
        <v>-4.9692068318004674</v>
      </c>
    </row>
    <row r="56" spans="1:36" ht="18" customHeight="1" x14ac:dyDescent="0.25">
      <c r="A56" s="17">
        <v>10</v>
      </c>
      <c r="B56" s="2">
        <v>39</v>
      </c>
      <c r="C56" s="2">
        <v>1</v>
      </c>
      <c r="D56" s="2">
        <v>0</v>
      </c>
      <c r="E56" s="2">
        <v>1</v>
      </c>
      <c r="F56" s="3">
        <f t="shared" si="24"/>
        <v>3.0561409672310642</v>
      </c>
      <c r="G56" s="3">
        <f t="shared" si="24"/>
        <v>3.3901890200204647</v>
      </c>
      <c r="H56" s="3">
        <f t="shared" si="24"/>
        <v>-0.98135016746589554</v>
      </c>
      <c r="I56" s="3">
        <f t="shared" si="23"/>
        <v>-3.145160860046373</v>
      </c>
      <c r="J56" s="3">
        <f t="shared" si="23"/>
        <v>-2.6022189668915292</v>
      </c>
      <c r="K56" s="3">
        <f t="shared" si="23"/>
        <v>4.2346865503094291</v>
      </c>
      <c r="L56" s="3">
        <f t="shared" si="23"/>
        <v>3.5268282512735416</v>
      </c>
      <c r="M56" s="3">
        <f t="shared" si="23"/>
        <v>3.4947879950795024</v>
      </c>
      <c r="N56" s="3">
        <f t="shared" si="23"/>
        <v>-4.9692068318004674</v>
      </c>
      <c r="O56" s="3">
        <f t="shared" si="0"/>
        <v>2.0747907997651689</v>
      </c>
      <c r="P56" s="3">
        <f t="shared" si="1"/>
        <v>0.88842872492091951</v>
      </c>
      <c r="Q56" s="3">
        <f t="shared" si="2"/>
        <v>1.0895256902630561</v>
      </c>
      <c r="R56" s="3">
        <f t="shared" si="3"/>
        <v>0.74829239546909598</v>
      </c>
      <c r="S56" s="3">
        <f t="shared" si="4"/>
        <v>0.77925197498824161</v>
      </c>
      <c r="T56" s="4">
        <f t="shared" si="5"/>
        <v>0.68551887503447562</v>
      </c>
      <c r="U56" s="1">
        <f t="shared" si="25"/>
        <v>1</v>
      </c>
      <c r="V56" s="3">
        <f t="shared" si="7"/>
        <v>0.31448112496552438</v>
      </c>
      <c r="W56" s="3">
        <f t="shared" si="26"/>
        <v>4.9449188979790878E-2</v>
      </c>
      <c r="X56" s="5" t="str">
        <f t="shared" si="22"/>
        <v>PASS</v>
      </c>
      <c r="Y56" s="3">
        <f t="shared" si="27"/>
        <v>6.7796704801586866E-2</v>
      </c>
      <c r="Z56" s="3">
        <f t="shared" si="28"/>
        <v>2.3701066297318375E-2</v>
      </c>
      <c r="AA56" s="3">
        <f t="shared" si="29"/>
        <v>4.4626937985225122E-2</v>
      </c>
      <c r="AB56" s="3">
        <f t="shared" si="30"/>
        <v>3.1153936329743601</v>
      </c>
      <c r="AC56" s="3">
        <f t="shared" si="31"/>
        <v>3.3901890200204647</v>
      </c>
      <c r="AD56" s="3">
        <f t="shared" si="32"/>
        <v>-0.92209750172259963</v>
      </c>
      <c r="AE56" s="3">
        <f t="shared" si="33"/>
        <v>-3.03359351508331</v>
      </c>
      <c r="AF56" s="3">
        <f t="shared" si="34"/>
        <v>-2.6022189668915292</v>
      </c>
      <c r="AG56" s="3">
        <f t="shared" si="35"/>
        <v>4.3462538952724916</v>
      </c>
      <c r="AH56" s="3">
        <f t="shared" si="36"/>
        <v>3.6774096012753259</v>
      </c>
      <c r="AI56" s="3">
        <f t="shared" si="37"/>
        <v>3.6216173916817289</v>
      </c>
      <c r="AJ56" s="11">
        <f t="shared" si="38"/>
        <v>-4.7997150697965001</v>
      </c>
    </row>
    <row r="57" spans="1:36" ht="18" customHeight="1" x14ac:dyDescent="0.25">
      <c r="A57" s="17">
        <v>10</v>
      </c>
      <c r="B57" s="2">
        <v>40</v>
      </c>
      <c r="C57" s="2">
        <v>1</v>
      </c>
      <c r="D57" s="2">
        <v>1</v>
      </c>
      <c r="E57" s="2">
        <v>0</v>
      </c>
      <c r="F57" s="3">
        <f t="shared" si="24"/>
        <v>3.1153936329743601</v>
      </c>
      <c r="G57" s="3">
        <f t="shared" si="24"/>
        <v>3.3901890200204647</v>
      </c>
      <c r="H57" s="3">
        <f t="shared" si="24"/>
        <v>-0.92209750172259963</v>
      </c>
      <c r="I57" s="3">
        <f t="shared" si="23"/>
        <v>-3.03359351508331</v>
      </c>
      <c r="J57" s="3">
        <f t="shared" si="23"/>
        <v>-2.6022189668915292</v>
      </c>
      <c r="K57" s="3">
        <f t="shared" si="23"/>
        <v>4.3462538952724916</v>
      </c>
      <c r="L57" s="3">
        <f t="shared" si="23"/>
        <v>3.6774096012753259</v>
      </c>
      <c r="M57" s="3">
        <f t="shared" si="23"/>
        <v>3.6216173916817289</v>
      </c>
      <c r="N57" s="3">
        <f t="shared" si="23"/>
        <v>-4.7997150697965001</v>
      </c>
      <c r="O57" s="3">
        <f t="shared" si="0"/>
        <v>5.5834851512722254</v>
      </c>
      <c r="P57" s="3">
        <f t="shared" si="1"/>
        <v>0.99625464001579556</v>
      </c>
      <c r="Q57" s="3">
        <f t="shared" si="2"/>
        <v>-1.2895585867023476</v>
      </c>
      <c r="R57" s="3">
        <f t="shared" si="3"/>
        <v>0.21592753397379205</v>
      </c>
      <c r="S57" s="3">
        <f t="shared" si="4"/>
        <v>-0.3540717789048875</v>
      </c>
      <c r="T57" s="4">
        <f t="shared" si="5"/>
        <v>0.41239537478786409</v>
      </c>
      <c r="U57" s="1">
        <f t="shared" si="25"/>
        <v>0</v>
      </c>
      <c r="V57" s="3">
        <f t="shared" si="7"/>
        <v>-0.41239537478786409</v>
      </c>
      <c r="W57" s="3">
        <f t="shared" si="26"/>
        <v>8.5034972573211437E-2</v>
      </c>
      <c r="X57" s="5" t="str">
        <f t="shared" si="22"/>
        <v>PASS</v>
      </c>
      <c r="Y57" s="3">
        <f t="shared" si="27"/>
        <v>-9.9933886377612316E-2</v>
      </c>
      <c r="Z57" s="3">
        <f t="shared" si="28"/>
        <v>-1.3712565217413708E-3</v>
      </c>
      <c r="AA57" s="3">
        <f t="shared" si="29"/>
        <v>-6.1274471250722516E-2</v>
      </c>
      <c r="AB57" s="3">
        <f t="shared" si="30"/>
        <v>3.1119654916700066</v>
      </c>
      <c r="AC57" s="3">
        <f t="shared" si="31"/>
        <v>3.3867608787161112</v>
      </c>
      <c r="AD57" s="3">
        <f t="shared" si="32"/>
        <v>-0.92552564302695306</v>
      </c>
      <c r="AE57" s="3">
        <f t="shared" si="33"/>
        <v>-3.1867796932101164</v>
      </c>
      <c r="AF57" s="3">
        <f t="shared" si="34"/>
        <v>-2.7554051450183357</v>
      </c>
      <c r="AG57" s="3">
        <f t="shared" si="35"/>
        <v>4.1930677171456852</v>
      </c>
      <c r="AH57" s="3">
        <f t="shared" si="36"/>
        <v>3.4285106062790569</v>
      </c>
      <c r="AI57" s="3">
        <f t="shared" si="37"/>
        <v>3.5676711975668915</v>
      </c>
      <c r="AJ57" s="11">
        <f t="shared" si="38"/>
        <v>-5.0495497857405311</v>
      </c>
    </row>
    <row r="58" spans="1:36" ht="18" customHeight="1" x14ac:dyDescent="0.25">
      <c r="A58" s="17">
        <v>11</v>
      </c>
      <c r="B58" s="2">
        <v>41</v>
      </c>
      <c r="C58" s="2">
        <v>0</v>
      </c>
      <c r="D58" s="2">
        <v>0</v>
      </c>
      <c r="E58" s="2">
        <v>0</v>
      </c>
      <c r="F58" s="3">
        <f t="shared" si="24"/>
        <v>3.1119654916700066</v>
      </c>
      <c r="G58" s="3">
        <f t="shared" si="24"/>
        <v>3.3867608787161112</v>
      </c>
      <c r="H58" s="3">
        <f t="shared" si="24"/>
        <v>-0.92552564302695306</v>
      </c>
      <c r="I58" s="3">
        <f t="shared" si="23"/>
        <v>-3.1867796932101164</v>
      </c>
      <c r="J58" s="3">
        <f t="shared" si="23"/>
        <v>-2.7554051450183357</v>
      </c>
      <c r="K58" s="3">
        <f t="shared" si="23"/>
        <v>4.1930677171456852</v>
      </c>
      <c r="L58" s="3">
        <f t="shared" si="23"/>
        <v>3.4285106062790569</v>
      </c>
      <c r="M58" s="3">
        <f t="shared" si="23"/>
        <v>3.5676711975668915</v>
      </c>
      <c r="N58" s="3">
        <f t="shared" si="23"/>
        <v>-5.0495497857405311</v>
      </c>
      <c r="O58" s="3">
        <f t="shared" si="0"/>
        <v>-0.92552564302695306</v>
      </c>
      <c r="P58" s="3">
        <f t="shared" si="1"/>
        <v>0.28383334554700185</v>
      </c>
      <c r="Q58" s="3">
        <f t="shared" si="2"/>
        <v>4.1930677171456852</v>
      </c>
      <c r="R58" s="3">
        <f t="shared" si="3"/>
        <v>0.98512472350939595</v>
      </c>
      <c r="S58" s="3">
        <f t="shared" si="4"/>
        <v>-0.56182304804144767</v>
      </c>
      <c r="T58" s="4">
        <f t="shared" si="5"/>
        <v>0.36312574660067731</v>
      </c>
      <c r="U58" s="1">
        <f t="shared" si="25"/>
        <v>0</v>
      </c>
      <c r="V58" s="3">
        <f t="shared" si="7"/>
        <v>-0.36312574660067731</v>
      </c>
      <c r="W58" s="3">
        <f t="shared" si="26"/>
        <v>6.5930153922149654E-2</v>
      </c>
      <c r="X58" s="5" t="str">
        <f t="shared" si="22"/>
        <v>PASS</v>
      </c>
      <c r="Y58" s="3">
        <f t="shared" si="27"/>
        <v>-8.3978435111342981E-2</v>
      </c>
      <c r="Z58" s="3">
        <f t="shared" si="28"/>
        <v>-5.8526261984441809E-2</v>
      </c>
      <c r="AA58" s="3">
        <f t="shared" si="29"/>
        <v>-4.3904482777149334E-3</v>
      </c>
      <c r="AB58" s="3">
        <f t="shared" si="30"/>
        <v>3.1119654916700066</v>
      </c>
      <c r="AC58" s="3">
        <f t="shared" si="31"/>
        <v>3.3867608787161112</v>
      </c>
      <c r="AD58" s="3">
        <f t="shared" si="32"/>
        <v>-1.0718412979880576</v>
      </c>
      <c r="AE58" s="3">
        <f t="shared" si="33"/>
        <v>-3.1867796932101164</v>
      </c>
      <c r="AF58" s="3">
        <f t="shared" si="34"/>
        <v>-2.7554051450183357</v>
      </c>
      <c r="AG58" s="3">
        <f t="shared" si="35"/>
        <v>4.1820915964513974</v>
      </c>
      <c r="AH58" s="3">
        <f t="shared" si="36"/>
        <v>3.368920905800421</v>
      </c>
      <c r="AI58" s="3">
        <f t="shared" si="37"/>
        <v>3.3608481158923578</v>
      </c>
      <c r="AJ58" s="11">
        <f t="shared" si="38"/>
        <v>-5.2594958735188886</v>
      </c>
    </row>
    <row r="59" spans="1:36" ht="18" customHeight="1" x14ac:dyDescent="0.25">
      <c r="A59" s="17">
        <v>11</v>
      </c>
      <c r="B59" s="2">
        <v>42</v>
      </c>
      <c r="C59" s="2">
        <v>0</v>
      </c>
      <c r="D59" s="2">
        <v>1</v>
      </c>
      <c r="E59" s="2">
        <v>1</v>
      </c>
      <c r="F59" s="3">
        <f t="shared" si="24"/>
        <v>3.1119654916700066</v>
      </c>
      <c r="G59" s="3">
        <f t="shared" si="24"/>
        <v>3.3867608787161112</v>
      </c>
      <c r="H59" s="3">
        <f t="shared" si="24"/>
        <v>-1.0718412979880576</v>
      </c>
      <c r="I59" s="3">
        <f t="shared" si="23"/>
        <v>-3.1867796932101164</v>
      </c>
      <c r="J59" s="3">
        <f t="shared" si="23"/>
        <v>-2.7554051450183357</v>
      </c>
      <c r="K59" s="3">
        <f t="shared" si="23"/>
        <v>4.1820915964513974</v>
      </c>
      <c r="L59" s="3">
        <f t="shared" si="23"/>
        <v>3.368920905800421</v>
      </c>
      <c r="M59" s="3">
        <f t="shared" si="23"/>
        <v>3.3608481158923578</v>
      </c>
      <c r="N59" s="3">
        <f t="shared" si="23"/>
        <v>-5.2594958735188886</v>
      </c>
      <c r="O59" s="3">
        <f t="shared" si="0"/>
        <v>2.3149195807280538</v>
      </c>
      <c r="P59" s="3">
        <f t="shared" si="1"/>
        <v>0.91010515756003474</v>
      </c>
      <c r="Q59" s="3">
        <f t="shared" si="2"/>
        <v>1.4266864514330617</v>
      </c>
      <c r="R59" s="3">
        <f t="shared" si="3"/>
        <v>0.80638450142888918</v>
      </c>
      <c r="S59" s="3">
        <f t="shared" si="4"/>
        <v>0.5167122505739794</v>
      </c>
      <c r="T59" s="4">
        <f t="shared" si="5"/>
        <v>0.62637865972006346</v>
      </c>
      <c r="U59" s="1">
        <f t="shared" si="25"/>
        <v>1</v>
      </c>
      <c r="V59" s="3">
        <f t="shared" si="7"/>
        <v>0.37362134027993654</v>
      </c>
      <c r="W59" s="3">
        <f t="shared" si="26"/>
        <v>6.9796452956288071E-2</v>
      </c>
      <c r="X59" s="5" t="str">
        <f t="shared" si="22"/>
        <v>PASS</v>
      </c>
      <c r="Y59" s="3">
        <f t="shared" si="27"/>
        <v>8.7438017311948349E-2</v>
      </c>
      <c r="Z59" s="3">
        <f t="shared" si="28"/>
        <v>2.4100023566462014E-2</v>
      </c>
      <c r="AA59" s="3">
        <f t="shared" si="29"/>
        <v>4.5880852459624026E-2</v>
      </c>
      <c r="AB59" s="3">
        <f t="shared" si="30"/>
        <v>3.1119654916700066</v>
      </c>
      <c r="AC59" s="3">
        <f t="shared" si="31"/>
        <v>3.4470109376322662</v>
      </c>
      <c r="AD59" s="3">
        <f t="shared" si="32"/>
        <v>-1.0115912390719026</v>
      </c>
      <c r="AE59" s="3">
        <f t="shared" si="33"/>
        <v>-3.1867796932101164</v>
      </c>
      <c r="AF59" s="3">
        <f t="shared" si="34"/>
        <v>-2.6407030138692758</v>
      </c>
      <c r="AG59" s="3">
        <f t="shared" si="35"/>
        <v>4.2967937276004573</v>
      </c>
      <c r="AH59" s="3">
        <f t="shared" si="36"/>
        <v>3.5678653821064907</v>
      </c>
      <c r="AI59" s="3">
        <f t="shared" si="37"/>
        <v>3.5371197708824229</v>
      </c>
      <c r="AJ59" s="11">
        <f t="shared" si="38"/>
        <v>-5.0409008302390177</v>
      </c>
    </row>
    <row r="60" spans="1:36" ht="18" customHeight="1" x14ac:dyDescent="0.25">
      <c r="A60" s="17">
        <v>11</v>
      </c>
      <c r="B60" s="2">
        <v>43</v>
      </c>
      <c r="C60" s="2">
        <v>1</v>
      </c>
      <c r="D60" s="2">
        <v>0</v>
      </c>
      <c r="E60" s="2">
        <v>1</v>
      </c>
      <c r="F60" s="3">
        <f t="shared" si="24"/>
        <v>3.1119654916700066</v>
      </c>
      <c r="G60" s="3">
        <f t="shared" si="24"/>
        <v>3.4470109376322662</v>
      </c>
      <c r="H60" s="3">
        <f t="shared" si="24"/>
        <v>-1.0115912390719026</v>
      </c>
      <c r="I60" s="3">
        <f t="shared" si="23"/>
        <v>-3.1867796932101164</v>
      </c>
      <c r="J60" s="3">
        <f t="shared" si="23"/>
        <v>-2.6407030138692758</v>
      </c>
      <c r="K60" s="3">
        <f t="shared" si="23"/>
        <v>4.2967937276004573</v>
      </c>
      <c r="L60" s="3">
        <f t="shared" si="23"/>
        <v>3.5678653821064907</v>
      </c>
      <c r="M60" s="3">
        <f t="shared" si="23"/>
        <v>3.5371197708824229</v>
      </c>
      <c r="N60" s="3">
        <f t="shared" si="23"/>
        <v>-5.0409008302390177</v>
      </c>
      <c r="O60" s="3">
        <f t="shared" si="0"/>
        <v>2.1003742525981037</v>
      </c>
      <c r="P60" s="3">
        <f t="shared" si="1"/>
        <v>0.89093954885394411</v>
      </c>
      <c r="Q60" s="3">
        <f t="shared" si="2"/>
        <v>1.1100140343903409</v>
      </c>
      <c r="R60" s="3">
        <f t="shared" si="3"/>
        <v>0.75213172787449079</v>
      </c>
      <c r="S60" s="3">
        <f t="shared" si="4"/>
        <v>0.79823154863936452</v>
      </c>
      <c r="T60" s="4">
        <f t="shared" si="5"/>
        <v>0.68959606519951666</v>
      </c>
      <c r="U60" s="1">
        <f t="shared" si="25"/>
        <v>1</v>
      </c>
      <c r="V60" s="3">
        <f t="shared" si="7"/>
        <v>0.31040393480048334</v>
      </c>
      <c r="W60" s="3">
        <f t="shared" si="26"/>
        <v>4.8175301369811359E-2</v>
      </c>
      <c r="X60" s="5" t="str">
        <f t="shared" si="22"/>
        <v>PASS</v>
      </c>
      <c r="Y60" s="3">
        <f t="shared" si="27"/>
        <v>6.6442996528845596E-2</v>
      </c>
      <c r="Z60" s="3">
        <f t="shared" si="28"/>
        <v>2.303420342571114E-2</v>
      </c>
      <c r="AA60" s="3">
        <f t="shared" si="29"/>
        <v>4.3814092924207605E-2</v>
      </c>
      <c r="AB60" s="3">
        <f t="shared" si="30"/>
        <v>3.1695510002342844</v>
      </c>
      <c r="AC60" s="3">
        <f t="shared" si="31"/>
        <v>3.4470109376322662</v>
      </c>
      <c r="AD60" s="3">
        <f t="shared" si="32"/>
        <v>-0.95400573050762483</v>
      </c>
      <c r="AE60" s="3">
        <f t="shared" si="33"/>
        <v>-3.0772444608995975</v>
      </c>
      <c r="AF60" s="3">
        <f t="shared" si="34"/>
        <v>-2.6407030138692758</v>
      </c>
      <c r="AG60" s="3">
        <f t="shared" si="35"/>
        <v>4.4063289599109767</v>
      </c>
      <c r="AH60" s="3">
        <f t="shared" si="36"/>
        <v>3.7158571154862754</v>
      </c>
      <c r="AI60" s="3">
        <f t="shared" si="37"/>
        <v>3.6620544853434214</v>
      </c>
      <c r="AJ60" s="11">
        <f t="shared" si="38"/>
        <v>-4.8747933389169038</v>
      </c>
    </row>
    <row r="61" spans="1:36" ht="18" customHeight="1" x14ac:dyDescent="0.25">
      <c r="A61" s="17">
        <v>11</v>
      </c>
      <c r="B61" s="2">
        <v>44</v>
      </c>
      <c r="C61" s="2">
        <v>1</v>
      </c>
      <c r="D61" s="2">
        <v>1</v>
      </c>
      <c r="E61" s="2">
        <v>0</v>
      </c>
      <c r="F61" s="3">
        <f t="shared" si="24"/>
        <v>3.1695510002342844</v>
      </c>
      <c r="G61" s="3">
        <f t="shared" si="24"/>
        <v>3.4470109376322662</v>
      </c>
      <c r="H61" s="3">
        <f t="shared" si="24"/>
        <v>-0.95400573050762483</v>
      </c>
      <c r="I61" s="3">
        <f t="shared" si="23"/>
        <v>-3.0772444608995975</v>
      </c>
      <c r="J61" s="3">
        <f t="shared" si="23"/>
        <v>-2.6407030138692758</v>
      </c>
      <c r="K61" s="3">
        <f t="shared" si="23"/>
        <v>4.4063289599109767</v>
      </c>
      <c r="L61" s="3">
        <f t="shared" si="23"/>
        <v>3.7158571154862754</v>
      </c>
      <c r="M61" s="3">
        <f t="shared" si="23"/>
        <v>3.6620544853434214</v>
      </c>
      <c r="N61" s="3">
        <f t="shared" si="23"/>
        <v>-4.8747933389169038</v>
      </c>
      <c r="O61" s="3">
        <f t="shared" si="0"/>
        <v>5.662556207358926</v>
      </c>
      <c r="P61" s="3">
        <f t="shared" si="1"/>
        <v>0.99653839808030475</v>
      </c>
      <c r="Q61" s="3">
        <f t="shared" si="2"/>
        <v>-1.3116185148578969</v>
      </c>
      <c r="R61" s="3">
        <f t="shared" si="3"/>
        <v>0.21221613405302098</v>
      </c>
      <c r="S61" s="3">
        <f t="shared" si="4"/>
        <v>-0.39465199598380263</v>
      </c>
      <c r="T61" s="4">
        <f t="shared" si="5"/>
        <v>0.4025979307683249</v>
      </c>
      <c r="U61" s="1">
        <f t="shared" si="25"/>
        <v>0</v>
      </c>
      <c r="V61" s="3">
        <f t="shared" si="7"/>
        <v>-0.4025979307683249</v>
      </c>
      <c r="W61" s="3">
        <f t="shared" si="26"/>
        <v>8.1042546929468467E-2</v>
      </c>
      <c r="X61" s="5" t="str">
        <f t="shared" si="22"/>
        <v>PASS</v>
      </c>
      <c r="Y61" s="3">
        <f t="shared" si="27"/>
        <v>-9.6829970462939188E-2</v>
      </c>
      <c r="Z61" s="3">
        <f t="shared" si="28"/>
        <v>-1.2411948520484781E-3</v>
      </c>
      <c r="AA61" s="3">
        <f t="shared" si="29"/>
        <v>-5.9281622538050617E-2</v>
      </c>
      <c r="AB61" s="3">
        <f t="shared" si="30"/>
        <v>3.166448013104163</v>
      </c>
      <c r="AC61" s="3">
        <f t="shared" si="31"/>
        <v>3.4439079505021448</v>
      </c>
      <c r="AD61" s="3">
        <f t="shared" si="32"/>
        <v>-0.95710871763774608</v>
      </c>
      <c r="AE61" s="3">
        <f t="shared" si="33"/>
        <v>-3.225448517244724</v>
      </c>
      <c r="AF61" s="3">
        <f t="shared" si="34"/>
        <v>-2.7889070702144023</v>
      </c>
      <c r="AG61" s="3">
        <f t="shared" si="35"/>
        <v>4.2581249035658502</v>
      </c>
      <c r="AH61" s="3">
        <f t="shared" si="36"/>
        <v>3.4746201563580237</v>
      </c>
      <c r="AI61" s="3">
        <f t="shared" si="37"/>
        <v>3.6106822803631387</v>
      </c>
      <c r="AJ61" s="11">
        <f t="shared" si="38"/>
        <v>-5.1168682650742516</v>
      </c>
    </row>
    <row r="62" spans="1:36" ht="18" customHeight="1" x14ac:dyDescent="0.25">
      <c r="A62" s="17">
        <v>12</v>
      </c>
      <c r="B62" s="2">
        <v>45</v>
      </c>
      <c r="C62" s="2">
        <v>0</v>
      </c>
      <c r="D62" s="2">
        <v>0</v>
      </c>
      <c r="E62" s="2">
        <v>0</v>
      </c>
      <c r="F62" s="3">
        <f t="shared" si="24"/>
        <v>3.166448013104163</v>
      </c>
      <c r="G62" s="3">
        <f t="shared" si="24"/>
        <v>3.4439079505021448</v>
      </c>
      <c r="H62" s="3">
        <f t="shared" si="24"/>
        <v>-0.95710871763774608</v>
      </c>
      <c r="I62" s="3">
        <f t="shared" si="23"/>
        <v>-3.225448517244724</v>
      </c>
      <c r="J62" s="3">
        <f t="shared" si="23"/>
        <v>-2.7889070702144023</v>
      </c>
      <c r="K62" s="3">
        <f t="shared" si="23"/>
        <v>4.2581249035658502</v>
      </c>
      <c r="L62" s="3">
        <f t="shared" si="23"/>
        <v>3.4746201563580237</v>
      </c>
      <c r="M62" s="3">
        <f t="shared" si="23"/>
        <v>3.6106822803631387</v>
      </c>
      <c r="N62" s="3">
        <f t="shared" si="23"/>
        <v>-5.1168682650742516</v>
      </c>
      <c r="O62" s="3">
        <f t="shared" si="0"/>
        <v>-0.95710871763774608</v>
      </c>
      <c r="P62" s="3">
        <f t="shared" si="1"/>
        <v>0.27745745105287323</v>
      </c>
      <c r="Q62" s="3">
        <f t="shared" si="2"/>
        <v>4.2581249035658502</v>
      </c>
      <c r="R62" s="3">
        <f t="shared" si="3"/>
        <v>0.98604858791842209</v>
      </c>
      <c r="S62" s="3">
        <f t="shared" si="4"/>
        <v>-0.59250084914007761</v>
      </c>
      <c r="T62" s="4">
        <f t="shared" si="5"/>
        <v>0.35606124934211703</v>
      </c>
      <c r="U62" s="1">
        <f t="shared" si="25"/>
        <v>0</v>
      </c>
      <c r="V62" s="3">
        <f t="shared" si="7"/>
        <v>-0.35606124934211703</v>
      </c>
      <c r="W62" s="3">
        <f t="shared" si="26"/>
        <v>6.338980664153461E-2</v>
      </c>
      <c r="X62" s="5" t="str">
        <f t="shared" si="22"/>
        <v>PASS</v>
      </c>
      <c r="Y62" s="3">
        <f t="shared" si="27"/>
        <v>-8.1638305786389143E-2</v>
      </c>
      <c r="Z62" s="3">
        <f t="shared" si="28"/>
        <v>-5.6867107274884039E-2</v>
      </c>
      <c r="AA62" s="3">
        <f t="shared" si="29"/>
        <v>-4.0550829279897361E-3</v>
      </c>
      <c r="AB62" s="3">
        <f t="shared" si="30"/>
        <v>3.166448013104163</v>
      </c>
      <c r="AC62" s="3">
        <f t="shared" si="31"/>
        <v>3.4439079505021448</v>
      </c>
      <c r="AD62" s="3">
        <f t="shared" si="32"/>
        <v>-1.0992764858249562</v>
      </c>
      <c r="AE62" s="3">
        <f t="shared" si="33"/>
        <v>-3.225448517244724</v>
      </c>
      <c r="AF62" s="3">
        <f t="shared" si="34"/>
        <v>-2.7889070702144023</v>
      </c>
      <c r="AG62" s="3">
        <f t="shared" si="35"/>
        <v>4.2479871962458757</v>
      </c>
      <c r="AH62" s="3">
        <f t="shared" si="36"/>
        <v>3.4179922657786075</v>
      </c>
      <c r="AI62" s="3">
        <f t="shared" si="37"/>
        <v>3.4094339400113354</v>
      </c>
      <c r="AJ62" s="11">
        <f t="shared" si="38"/>
        <v>-5.3209640295402245</v>
      </c>
    </row>
    <row r="63" spans="1:36" ht="18" customHeight="1" x14ac:dyDescent="0.25">
      <c r="A63" s="17">
        <v>12</v>
      </c>
      <c r="B63" s="2">
        <v>46</v>
      </c>
      <c r="C63" s="2">
        <v>0</v>
      </c>
      <c r="D63" s="2">
        <v>1</v>
      </c>
      <c r="E63" s="2">
        <v>1</v>
      </c>
      <c r="F63" s="3">
        <f t="shared" si="24"/>
        <v>3.166448013104163</v>
      </c>
      <c r="G63" s="3">
        <f t="shared" si="24"/>
        <v>3.4439079505021448</v>
      </c>
      <c r="H63" s="3">
        <f t="shared" si="24"/>
        <v>-1.0992764858249562</v>
      </c>
      <c r="I63" s="3">
        <f t="shared" si="23"/>
        <v>-3.225448517244724</v>
      </c>
      <c r="J63" s="3">
        <f t="shared" si="23"/>
        <v>-2.7889070702144023</v>
      </c>
      <c r="K63" s="3">
        <f t="shared" si="23"/>
        <v>4.2479871962458757</v>
      </c>
      <c r="L63" s="3">
        <f t="shared" si="23"/>
        <v>3.4179922657786075</v>
      </c>
      <c r="M63" s="3">
        <f t="shared" si="23"/>
        <v>3.4094339400113354</v>
      </c>
      <c r="N63" s="3">
        <f t="shared" si="23"/>
        <v>-5.3209640295402245</v>
      </c>
      <c r="O63" s="3">
        <f t="shared" si="0"/>
        <v>2.3446314646771889</v>
      </c>
      <c r="P63" s="3">
        <f t="shared" si="1"/>
        <v>0.91250656074487468</v>
      </c>
      <c r="Q63" s="3">
        <f t="shared" si="2"/>
        <v>1.4590801260314734</v>
      </c>
      <c r="R63" s="3">
        <f t="shared" si="3"/>
        <v>0.81139194214128585</v>
      </c>
      <c r="S63" s="3">
        <f t="shared" si="4"/>
        <v>0.56436356374620811</v>
      </c>
      <c r="T63" s="4">
        <f t="shared" si="5"/>
        <v>0.63746158232996752</v>
      </c>
      <c r="U63" s="1">
        <f t="shared" si="25"/>
        <v>1</v>
      </c>
      <c r="V63" s="3">
        <f t="shared" si="7"/>
        <v>0.36253841767003248</v>
      </c>
      <c r="W63" s="3">
        <f t="shared" si="26"/>
        <v>6.5717052143345459E-2</v>
      </c>
      <c r="X63" s="5" t="str">
        <f t="shared" si="22"/>
        <v>PASS</v>
      </c>
      <c r="Y63" s="3">
        <f t="shared" si="27"/>
        <v>8.3784192090715956E-2</v>
      </c>
      <c r="Z63" s="3">
        <f t="shared" si="28"/>
        <v>2.2863601708123509E-2</v>
      </c>
      <c r="AA63" s="3">
        <f t="shared" si="29"/>
        <v>4.3715484884044892E-2</v>
      </c>
      <c r="AB63" s="3">
        <f t="shared" si="30"/>
        <v>3.166448013104163</v>
      </c>
      <c r="AC63" s="3">
        <f t="shared" si="31"/>
        <v>3.5010669547724538</v>
      </c>
      <c r="AD63" s="3">
        <f t="shared" si="32"/>
        <v>-1.0421174815546475</v>
      </c>
      <c r="AE63" s="3">
        <f t="shared" si="33"/>
        <v>-3.225448517244724</v>
      </c>
      <c r="AF63" s="3">
        <f t="shared" si="34"/>
        <v>-2.6796183580042903</v>
      </c>
      <c r="AG63" s="3">
        <f t="shared" si="35"/>
        <v>4.3572759084559882</v>
      </c>
      <c r="AH63" s="3">
        <f t="shared" si="36"/>
        <v>3.6091263282023256</v>
      </c>
      <c r="AI63" s="3">
        <f t="shared" si="37"/>
        <v>3.579388485864397</v>
      </c>
      <c r="AJ63" s="11">
        <f t="shared" si="38"/>
        <v>-5.1115035493134346</v>
      </c>
    </row>
    <row r="64" spans="1:36" ht="18" customHeight="1" x14ac:dyDescent="0.25">
      <c r="A64" s="17">
        <v>12</v>
      </c>
      <c r="B64" s="2">
        <v>47</v>
      </c>
      <c r="C64" s="2">
        <v>1</v>
      </c>
      <c r="D64" s="2">
        <v>0</v>
      </c>
      <c r="E64" s="2">
        <v>1</v>
      </c>
      <c r="F64" s="3">
        <f t="shared" si="24"/>
        <v>3.166448013104163</v>
      </c>
      <c r="G64" s="3">
        <f t="shared" si="24"/>
        <v>3.5010669547724538</v>
      </c>
      <c r="H64" s="3">
        <f t="shared" si="24"/>
        <v>-1.0421174815546475</v>
      </c>
      <c r="I64" s="3">
        <f t="shared" si="23"/>
        <v>-3.225448517244724</v>
      </c>
      <c r="J64" s="3">
        <f t="shared" si="23"/>
        <v>-2.6796183580042903</v>
      </c>
      <c r="K64" s="3">
        <f t="shared" si="23"/>
        <v>4.3572759084559882</v>
      </c>
      <c r="L64" s="3">
        <f t="shared" si="23"/>
        <v>3.6091263282023256</v>
      </c>
      <c r="M64" s="3">
        <f t="shared" si="23"/>
        <v>3.579388485864397</v>
      </c>
      <c r="N64" s="3">
        <f t="shared" si="23"/>
        <v>-5.1115035493134346</v>
      </c>
      <c r="O64" s="3">
        <f t="shared" si="0"/>
        <v>2.1243305315495156</v>
      </c>
      <c r="P64" s="3">
        <f t="shared" si="1"/>
        <v>0.8932455837461174</v>
      </c>
      <c r="Q64" s="3">
        <f t="shared" si="2"/>
        <v>1.1318273912112642</v>
      </c>
      <c r="R64" s="3">
        <f t="shared" si="3"/>
        <v>0.75617597998458219</v>
      </c>
      <c r="S64" s="3">
        <f t="shared" si="4"/>
        <v>0.81898020057917265</v>
      </c>
      <c r="T64" s="4">
        <f t="shared" si="5"/>
        <v>0.69401982212678337</v>
      </c>
      <c r="U64" s="1">
        <f t="shared" si="25"/>
        <v>1</v>
      </c>
      <c r="V64" s="3">
        <f t="shared" si="7"/>
        <v>0.30598017787321663</v>
      </c>
      <c r="W64" s="3">
        <f t="shared" si="26"/>
        <v>4.6811934625662646E-2</v>
      </c>
      <c r="X64" s="5" t="str">
        <f t="shared" si="22"/>
        <v>PASS</v>
      </c>
      <c r="Y64" s="3">
        <f t="shared" si="27"/>
        <v>6.4976821084625991E-2</v>
      </c>
      <c r="Z64" s="3">
        <f t="shared" si="28"/>
        <v>2.2362341309182243E-2</v>
      </c>
      <c r="AA64" s="3">
        <f t="shared" si="29"/>
        <v>4.2881173520637229E-2</v>
      </c>
      <c r="AB64" s="3">
        <f t="shared" si="30"/>
        <v>3.2223538663771185</v>
      </c>
      <c r="AC64" s="3">
        <f t="shared" si="31"/>
        <v>3.5010669547724538</v>
      </c>
      <c r="AD64" s="3">
        <f t="shared" si="32"/>
        <v>-0.98621162828169184</v>
      </c>
      <c r="AE64" s="3">
        <f t="shared" si="33"/>
        <v>-3.1182455834431311</v>
      </c>
      <c r="AF64" s="3">
        <f t="shared" si="34"/>
        <v>-2.6796183580042903</v>
      </c>
      <c r="AG64" s="3">
        <f t="shared" si="35"/>
        <v>4.4644788422575816</v>
      </c>
      <c r="AH64" s="3">
        <f t="shared" si="36"/>
        <v>3.7542269744015853</v>
      </c>
      <c r="AI64" s="3">
        <f t="shared" si="37"/>
        <v>3.7022232642642718</v>
      </c>
      <c r="AJ64" s="11">
        <f t="shared" si="38"/>
        <v>-4.9490614966018693</v>
      </c>
    </row>
    <row r="65" spans="1:36" ht="18" customHeight="1" x14ac:dyDescent="0.25">
      <c r="A65" s="17">
        <v>12</v>
      </c>
      <c r="B65" s="2">
        <v>48</v>
      </c>
      <c r="C65" s="2">
        <v>1</v>
      </c>
      <c r="D65" s="2">
        <v>1</v>
      </c>
      <c r="E65" s="2">
        <v>0</v>
      </c>
      <c r="F65" s="3">
        <f t="shared" si="24"/>
        <v>3.2223538663771185</v>
      </c>
      <c r="G65" s="3">
        <f t="shared" si="24"/>
        <v>3.5010669547724538</v>
      </c>
      <c r="H65" s="3">
        <f t="shared" si="24"/>
        <v>-0.98621162828169184</v>
      </c>
      <c r="I65" s="3">
        <f t="shared" si="23"/>
        <v>-3.1182455834431311</v>
      </c>
      <c r="J65" s="3">
        <f t="shared" si="23"/>
        <v>-2.6796183580042903</v>
      </c>
      <c r="K65" s="3">
        <f t="shared" si="23"/>
        <v>4.4644788422575816</v>
      </c>
      <c r="L65" s="3">
        <f t="shared" si="23"/>
        <v>3.7542269744015853</v>
      </c>
      <c r="M65" s="3">
        <f t="shared" si="23"/>
        <v>3.7022232642642718</v>
      </c>
      <c r="N65" s="3">
        <f t="shared" si="23"/>
        <v>-4.9490614966018693</v>
      </c>
      <c r="O65" s="3">
        <f t="shared" si="0"/>
        <v>5.7372091928678808</v>
      </c>
      <c r="P65" s="3">
        <f t="shared" si="1"/>
        <v>0.99678660658093254</v>
      </c>
      <c r="Q65" s="3">
        <f t="shared" si="2"/>
        <v>-1.3333850991898393</v>
      </c>
      <c r="R65" s="3">
        <f t="shared" si="3"/>
        <v>0.20859998137743893</v>
      </c>
      <c r="S65" s="3">
        <f t="shared" si="4"/>
        <v>-0.43461462647286275</v>
      </c>
      <c r="T65" s="4">
        <f t="shared" si="5"/>
        <v>0.39302494143428296</v>
      </c>
      <c r="U65" s="1">
        <f t="shared" si="25"/>
        <v>0</v>
      </c>
      <c r="V65" s="3">
        <f t="shared" si="7"/>
        <v>-0.39302494143428296</v>
      </c>
      <c r="W65" s="3">
        <f t="shared" si="26"/>
        <v>7.7234302294710774E-2</v>
      </c>
      <c r="X65" s="5" t="str">
        <f t="shared" si="22"/>
        <v>PASS</v>
      </c>
      <c r="Y65" s="3">
        <f t="shared" si="27"/>
        <v>-9.3758590317228718E-2</v>
      </c>
      <c r="Z65" s="3">
        <f t="shared" si="28"/>
        <v>-1.1274510324776037E-3</v>
      </c>
      <c r="AA65" s="3">
        <f t="shared" si="29"/>
        <v>-5.730387568645387E-2</v>
      </c>
      <c r="AB65" s="3">
        <f t="shared" si="30"/>
        <v>3.2195352387959244</v>
      </c>
      <c r="AC65" s="3">
        <f t="shared" si="31"/>
        <v>3.4982483271912597</v>
      </c>
      <c r="AD65" s="3">
        <f t="shared" si="32"/>
        <v>-0.98903025586288584</v>
      </c>
      <c r="AE65" s="3">
        <f t="shared" si="33"/>
        <v>-3.2615052726592659</v>
      </c>
      <c r="AF65" s="3">
        <f t="shared" si="34"/>
        <v>-2.8228780472204251</v>
      </c>
      <c r="AG65" s="3">
        <f t="shared" si="35"/>
        <v>4.3212191530414472</v>
      </c>
      <c r="AH65" s="3">
        <f t="shared" si="36"/>
        <v>3.5205837067012795</v>
      </c>
      <c r="AI65" s="3">
        <f t="shared" si="37"/>
        <v>3.6533281637788999</v>
      </c>
      <c r="AJ65" s="11">
        <f t="shared" si="38"/>
        <v>-5.1834579723949412</v>
      </c>
    </row>
    <row r="66" spans="1:36" ht="18" customHeight="1" x14ac:dyDescent="0.25">
      <c r="A66" s="17">
        <v>13</v>
      </c>
      <c r="B66" s="2">
        <v>49</v>
      </c>
      <c r="C66" s="2">
        <v>0</v>
      </c>
      <c r="D66" s="2">
        <v>0</v>
      </c>
      <c r="E66" s="2">
        <v>0</v>
      </c>
      <c r="F66" s="3">
        <f t="shared" si="24"/>
        <v>3.2195352387959244</v>
      </c>
      <c r="G66" s="3">
        <f t="shared" si="24"/>
        <v>3.4982483271912597</v>
      </c>
      <c r="H66" s="3">
        <f t="shared" si="24"/>
        <v>-0.98903025586288584</v>
      </c>
      <c r="I66" s="3">
        <f t="shared" si="23"/>
        <v>-3.2615052726592659</v>
      </c>
      <c r="J66" s="3">
        <f t="shared" si="23"/>
        <v>-2.8228780472204251</v>
      </c>
      <c r="K66" s="3">
        <f t="shared" si="23"/>
        <v>4.3212191530414472</v>
      </c>
      <c r="L66" s="3">
        <f t="shared" si="23"/>
        <v>3.5205837067012795</v>
      </c>
      <c r="M66" s="3">
        <f t="shared" si="23"/>
        <v>3.6533281637788999</v>
      </c>
      <c r="N66" s="3">
        <f t="shared" si="23"/>
        <v>-5.1834579723949412</v>
      </c>
      <c r="O66" s="3">
        <f t="shared" si="0"/>
        <v>-0.98903025586288584</v>
      </c>
      <c r="P66" s="3">
        <f t="shared" si="1"/>
        <v>0.27110366282201115</v>
      </c>
      <c r="Q66" s="3">
        <f t="shared" si="2"/>
        <v>4.3212191530414472</v>
      </c>
      <c r="R66" s="3">
        <f t="shared" si="3"/>
        <v>0.98689046403634628</v>
      </c>
      <c r="S66" s="3">
        <f t="shared" si="4"/>
        <v>-0.62358010740791947</v>
      </c>
      <c r="T66" s="4">
        <f t="shared" si="5"/>
        <v>0.34896765042029032</v>
      </c>
      <c r="U66" s="1">
        <f t="shared" si="25"/>
        <v>0</v>
      </c>
      <c r="V66" s="3">
        <f t="shared" si="7"/>
        <v>-0.34896765042029032</v>
      </c>
      <c r="W66" s="3">
        <f t="shared" si="26"/>
        <v>6.0889210519928974E-2</v>
      </c>
      <c r="X66" s="5" t="str">
        <f t="shared" si="22"/>
        <v>PASS</v>
      </c>
      <c r="Y66" s="3">
        <f t="shared" si="27"/>
        <v>-7.9281691577685873E-2</v>
      </c>
      <c r="Z66" s="3">
        <f t="shared" si="28"/>
        <v>-5.5155488532354101E-2</v>
      </c>
      <c r="AA66" s="3">
        <f t="shared" si="29"/>
        <v>-3.7472948357960057E-3</v>
      </c>
      <c r="AB66" s="3">
        <f t="shared" si="30"/>
        <v>3.2195352387959244</v>
      </c>
      <c r="AC66" s="3">
        <f t="shared" si="31"/>
        <v>3.4982483271912597</v>
      </c>
      <c r="AD66" s="3">
        <f t="shared" si="32"/>
        <v>-1.1269189771937711</v>
      </c>
      <c r="AE66" s="3">
        <f t="shared" si="33"/>
        <v>-3.2615052726592659</v>
      </c>
      <c r="AF66" s="3">
        <f t="shared" si="34"/>
        <v>-2.8228780472204251</v>
      </c>
      <c r="AG66" s="3">
        <f t="shared" si="35"/>
        <v>4.3118509159519576</v>
      </c>
      <c r="AH66" s="3">
        <f t="shared" si="36"/>
        <v>3.4668498142476905</v>
      </c>
      <c r="AI66" s="3">
        <f t="shared" si="37"/>
        <v>3.4577223003021778</v>
      </c>
      <c r="AJ66" s="11">
        <f t="shared" si="38"/>
        <v>-5.3816622013391555</v>
      </c>
    </row>
    <row r="67" spans="1:36" ht="18" customHeight="1" x14ac:dyDescent="0.25">
      <c r="A67" s="17">
        <v>13</v>
      </c>
      <c r="B67" s="2">
        <v>50</v>
      </c>
      <c r="C67" s="2">
        <v>0</v>
      </c>
      <c r="D67" s="2">
        <v>1</v>
      </c>
      <c r="E67" s="2">
        <v>1</v>
      </c>
      <c r="F67" s="3">
        <f t="shared" si="24"/>
        <v>3.2195352387959244</v>
      </c>
      <c r="G67" s="3">
        <f t="shared" si="24"/>
        <v>3.4982483271912597</v>
      </c>
      <c r="H67" s="3">
        <f t="shared" si="24"/>
        <v>-1.1269189771937711</v>
      </c>
      <c r="I67" s="3">
        <f t="shared" si="23"/>
        <v>-3.2615052726592659</v>
      </c>
      <c r="J67" s="3">
        <f t="shared" si="23"/>
        <v>-2.8228780472204251</v>
      </c>
      <c r="K67" s="3">
        <f t="shared" si="23"/>
        <v>4.3118509159519576</v>
      </c>
      <c r="L67" s="3">
        <f t="shared" si="23"/>
        <v>3.4668498142476905</v>
      </c>
      <c r="M67" s="3">
        <f t="shared" si="23"/>
        <v>3.4577223003021778</v>
      </c>
      <c r="N67" s="3">
        <f t="shared" si="23"/>
        <v>-5.3816622013391555</v>
      </c>
      <c r="O67" s="3">
        <f t="shared" si="0"/>
        <v>2.3713293499974886</v>
      </c>
      <c r="P67" s="3">
        <f t="shared" si="1"/>
        <v>0.91461473288825768</v>
      </c>
      <c r="Q67" s="3">
        <f t="shared" si="2"/>
        <v>1.4889728687315325</v>
      </c>
      <c r="R67" s="3">
        <f t="shared" si="3"/>
        <v>0.81592405574648874</v>
      </c>
      <c r="S67" s="3">
        <f t="shared" si="4"/>
        <v>0.61040851839033294</v>
      </c>
      <c r="T67" s="4">
        <f t="shared" si="5"/>
        <v>0.64803398501532794</v>
      </c>
      <c r="U67" s="1">
        <f t="shared" si="25"/>
        <v>1</v>
      </c>
      <c r="V67" s="3">
        <f t="shared" si="7"/>
        <v>0.35196601498467206</v>
      </c>
      <c r="W67" s="3">
        <f t="shared" si="26"/>
        <v>6.1940037852095196E-2</v>
      </c>
      <c r="X67" s="5" t="str">
        <f t="shared" si="22"/>
        <v>PASS</v>
      </c>
      <c r="Y67" s="3">
        <f t="shared" si="27"/>
        <v>8.0278499122587013E-2</v>
      </c>
      <c r="Z67" s="3">
        <f t="shared" si="28"/>
        <v>2.1734787916145255E-2</v>
      </c>
      <c r="AA67" s="3">
        <f t="shared" si="29"/>
        <v>4.1690406504885251E-2</v>
      </c>
      <c r="AB67" s="3">
        <f t="shared" si="30"/>
        <v>3.2195352387959244</v>
      </c>
      <c r="AC67" s="3">
        <f t="shared" si="31"/>
        <v>3.552585296981623</v>
      </c>
      <c r="AD67" s="3">
        <f t="shared" si="32"/>
        <v>-1.072582007403408</v>
      </c>
      <c r="AE67" s="3">
        <f t="shared" si="33"/>
        <v>-3.2615052726592659</v>
      </c>
      <c r="AF67" s="3">
        <f t="shared" si="34"/>
        <v>-2.7186520309582121</v>
      </c>
      <c r="AG67" s="3">
        <f t="shared" si="35"/>
        <v>4.4160769322141711</v>
      </c>
      <c r="AH67" s="3">
        <f t="shared" si="36"/>
        <v>3.6504095593268784</v>
      </c>
      <c r="AI67" s="3">
        <f t="shared" si="37"/>
        <v>3.621475196785533</v>
      </c>
      <c r="AJ67" s="11">
        <f t="shared" si="38"/>
        <v>-5.180965953532688</v>
      </c>
    </row>
    <row r="68" spans="1:36" ht="18" customHeight="1" x14ac:dyDescent="0.25">
      <c r="A68" s="17">
        <v>13</v>
      </c>
      <c r="B68" s="2">
        <v>51</v>
      </c>
      <c r="C68" s="2">
        <v>1</v>
      </c>
      <c r="D68" s="2">
        <v>0</v>
      </c>
      <c r="E68" s="2">
        <v>1</v>
      </c>
      <c r="F68" s="3">
        <f t="shared" si="24"/>
        <v>3.2195352387959244</v>
      </c>
      <c r="G68" s="3">
        <f t="shared" si="24"/>
        <v>3.552585296981623</v>
      </c>
      <c r="H68" s="3">
        <f t="shared" si="24"/>
        <v>-1.072582007403408</v>
      </c>
      <c r="I68" s="3">
        <f t="shared" si="23"/>
        <v>-3.2615052726592659</v>
      </c>
      <c r="J68" s="3">
        <f t="shared" si="23"/>
        <v>-2.7186520309582121</v>
      </c>
      <c r="K68" s="3">
        <f t="shared" si="23"/>
        <v>4.4160769322141711</v>
      </c>
      <c r="L68" s="3">
        <f t="shared" si="23"/>
        <v>3.6504095593268784</v>
      </c>
      <c r="M68" s="3">
        <f t="shared" si="23"/>
        <v>3.621475196785533</v>
      </c>
      <c r="N68" s="3">
        <f t="shared" si="23"/>
        <v>-5.180965953532688</v>
      </c>
      <c r="O68" s="3">
        <f t="shared" si="0"/>
        <v>2.1469532313925166</v>
      </c>
      <c r="P68" s="3">
        <f t="shared" si="1"/>
        <v>0.89538372446107672</v>
      </c>
      <c r="Q68" s="3">
        <f t="shared" si="2"/>
        <v>1.1545716595549051</v>
      </c>
      <c r="R68" s="3">
        <f t="shared" si="3"/>
        <v>0.76034495828183701</v>
      </c>
      <c r="S68" s="3">
        <f t="shared" si="4"/>
        <v>0.84112176092433444</v>
      </c>
      <c r="T68" s="4">
        <f t="shared" si="5"/>
        <v>0.69870141920774576</v>
      </c>
      <c r="U68" s="1">
        <f t="shared" si="25"/>
        <v>1</v>
      </c>
      <c r="V68" s="3">
        <f t="shared" si="7"/>
        <v>0.30129858079225424</v>
      </c>
      <c r="W68" s="3">
        <f t="shared" si="26"/>
        <v>4.539041739371328E-2</v>
      </c>
      <c r="X68" s="5" t="str">
        <f t="shared" si="22"/>
        <v>PASS</v>
      </c>
      <c r="Y68" s="3">
        <f t="shared" si="27"/>
        <v>6.342869810283884E-2</v>
      </c>
      <c r="Z68" s="3">
        <f t="shared" si="28"/>
        <v>2.1688815828642658E-2</v>
      </c>
      <c r="AA68" s="3">
        <f t="shared" si="29"/>
        <v>4.1857043836601014E-2</v>
      </c>
      <c r="AB68" s="3">
        <f t="shared" si="30"/>
        <v>3.2737572783675311</v>
      </c>
      <c r="AC68" s="3">
        <f t="shared" si="31"/>
        <v>3.552585296981623</v>
      </c>
      <c r="AD68" s="3">
        <f t="shared" si="32"/>
        <v>-1.0183599678318014</v>
      </c>
      <c r="AE68" s="3">
        <f t="shared" si="33"/>
        <v>-3.1568626630677632</v>
      </c>
      <c r="AF68" s="3">
        <f t="shared" si="34"/>
        <v>-2.7186520309582121</v>
      </c>
      <c r="AG68" s="3">
        <f t="shared" si="35"/>
        <v>4.5207195418056738</v>
      </c>
      <c r="AH68" s="3">
        <f t="shared" si="36"/>
        <v>3.7923921191894712</v>
      </c>
      <c r="AI68" s="3">
        <f t="shared" si="37"/>
        <v>3.7420444238177186</v>
      </c>
      <c r="AJ68" s="11">
        <f t="shared" si="38"/>
        <v>-5.0223942082755908</v>
      </c>
    </row>
    <row r="69" spans="1:36" ht="18" customHeight="1" x14ac:dyDescent="0.25">
      <c r="A69" s="17">
        <v>13</v>
      </c>
      <c r="B69" s="2">
        <v>52</v>
      </c>
      <c r="C69" s="2">
        <v>1</v>
      </c>
      <c r="D69" s="2">
        <v>1</v>
      </c>
      <c r="E69" s="2">
        <v>0</v>
      </c>
      <c r="F69" s="3">
        <f t="shared" si="24"/>
        <v>3.2737572783675311</v>
      </c>
      <c r="G69" s="3">
        <f t="shared" si="24"/>
        <v>3.552585296981623</v>
      </c>
      <c r="H69" s="3">
        <f t="shared" si="24"/>
        <v>-1.0183599678318014</v>
      </c>
      <c r="I69" s="3">
        <f t="shared" si="23"/>
        <v>-3.1568626630677632</v>
      </c>
      <c r="J69" s="3">
        <f t="shared" si="23"/>
        <v>-2.7186520309582121</v>
      </c>
      <c r="K69" s="3">
        <f t="shared" si="23"/>
        <v>4.5207195418056738</v>
      </c>
      <c r="L69" s="3">
        <f t="shared" si="23"/>
        <v>3.7923921191894712</v>
      </c>
      <c r="M69" s="3">
        <f t="shared" si="23"/>
        <v>3.7420444238177186</v>
      </c>
      <c r="N69" s="3">
        <f t="shared" si="23"/>
        <v>-5.0223942082755908</v>
      </c>
      <c r="O69" s="3">
        <f t="shared" si="0"/>
        <v>5.807982607517352</v>
      </c>
      <c r="P69" s="3">
        <f t="shared" si="1"/>
        <v>0.99700551072922039</v>
      </c>
      <c r="Q69" s="3">
        <f t="shared" si="2"/>
        <v>-1.3547951522203014</v>
      </c>
      <c r="R69" s="3">
        <f t="shared" si="3"/>
        <v>0.205087528715931</v>
      </c>
      <c r="S69" s="3">
        <f t="shared" si="4"/>
        <v>-0.47391172337161613</v>
      </c>
      <c r="T69" s="4">
        <f t="shared" si="5"/>
        <v>0.38369081002169808</v>
      </c>
      <c r="U69" s="1">
        <f t="shared" si="25"/>
        <v>0</v>
      </c>
      <c r="V69" s="3">
        <f t="shared" si="7"/>
        <v>-0.38369081002169808</v>
      </c>
      <c r="W69" s="3">
        <f t="shared" si="26"/>
        <v>7.3609318847553409E-2</v>
      </c>
      <c r="X69" s="5" t="str">
        <f t="shared" si="22"/>
        <v>PASS</v>
      </c>
      <c r="Y69" s="3">
        <f t="shared" si="27"/>
        <v>-9.0732199347580395E-2</v>
      </c>
      <c r="Z69" s="3">
        <f t="shared" si="28"/>
        <v>-1.0272945730603524E-3</v>
      </c>
      <c r="AA69" s="3">
        <f t="shared" si="29"/>
        <v>-5.5351442038131013E-2</v>
      </c>
      <c r="AB69" s="3">
        <f t="shared" si="30"/>
        <v>3.2711890419348801</v>
      </c>
      <c r="AC69" s="3">
        <f t="shared" si="31"/>
        <v>3.550017060548972</v>
      </c>
      <c r="AD69" s="3">
        <f t="shared" si="32"/>
        <v>-1.0209282042644523</v>
      </c>
      <c r="AE69" s="3">
        <f t="shared" si="33"/>
        <v>-3.2952412681630907</v>
      </c>
      <c r="AF69" s="3">
        <f t="shared" si="34"/>
        <v>-2.8570306360535396</v>
      </c>
      <c r="AG69" s="3">
        <f t="shared" si="35"/>
        <v>4.3823409367103459</v>
      </c>
      <c r="AH69" s="3">
        <f t="shared" si="36"/>
        <v>3.5662408623141717</v>
      </c>
      <c r="AI69" s="3">
        <f t="shared" si="37"/>
        <v>3.6955243174698276</v>
      </c>
      <c r="AJ69" s="11">
        <f t="shared" si="38"/>
        <v>-5.2492247066445419</v>
      </c>
    </row>
    <row r="70" spans="1:36" ht="18" customHeight="1" x14ac:dyDescent="0.25">
      <c r="A70" s="17">
        <v>14</v>
      </c>
      <c r="B70" s="2">
        <v>53</v>
      </c>
      <c r="C70" s="2">
        <v>0</v>
      </c>
      <c r="D70" s="2">
        <v>0</v>
      </c>
      <c r="E70" s="2">
        <v>0</v>
      </c>
      <c r="F70" s="3">
        <f t="shared" si="24"/>
        <v>3.2711890419348801</v>
      </c>
      <c r="G70" s="3">
        <f t="shared" si="24"/>
        <v>3.550017060548972</v>
      </c>
      <c r="H70" s="3">
        <f t="shared" si="24"/>
        <v>-1.0209282042644523</v>
      </c>
      <c r="I70" s="3">
        <f t="shared" si="23"/>
        <v>-3.2952412681630907</v>
      </c>
      <c r="J70" s="3">
        <f t="shared" si="23"/>
        <v>-2.8570306360535396</v>
      </c>
      <c r="K70" s="3">
        <f t="shared" si="23"/>
        <v>4.3823409367103459</v>
      </c>
      <c r="L70" s="3">
        <f t="shared" si="23"/>
        <v>3.5662408623141717</v>
      </c>
      <c r="M70" s="3">
        <f t="shared" si="23"/>
        <v>3.6955243174698276</v>
      </c>
      <c r="N70" s="3">
        <f t="shared" si="23"/>
        <v>-5.2492247066445419</v>
      </c>
      <c r="O70" s="3">
        <f t="shared" si="0"/>
        <v>-1.0209282042644523</v>
      </c>
      <c r="P70" s="3">
        <f t="shared" si="1"/>
        <v>0.26484663703288425</v>
      </c>
      <c r="Q70" s="3">
        <f t="shared" si="2"/>
        <v>4.3823409367103459</v>
      </c>
      <c r="R70" s="3">
        <f t="shared" si="3"/>
        <v>0.9876581527677849</v>
      </c>
      <c r="S70" s="3">
        <f t="shared" si="4"/>
        <v>-0.65480308651070107</v>
      </c>
      <c r="T70" s="4">
        <f t="shared" si="5"/>
        <v>0.34190799046963694</v>
      </c>
      <c r="U70" s="1">
        <f t="shared" si="25"/>
        <v>0</v>
      </c>
      <c r="V70" s="3">
        <f t="shared" si="7"/>
        <v>-0.34190799046963694</v>
      </c>
      <c r="W70" s="3">
        <f t="shared" si="26"/>
        <v>5.8450536973492673E-2</v>
      </c>
      <c r="X70" s="5" t="str">
        <f t="shared" si="22"/>
        <v>PASS</v>
      </c>
      <c r="Y70" s="3">
        <f t="shared" si="27"/>
        <v>-7.6931662670029155E-2</v>
      </c>
      <c r="Z70" s="3">
        <f t="shared" si="28"/>
        <v>-5.3418071063046496E-2</v>
      </c>
      <c r="AA70" s="3">
        <f t="shared" si="29"/>
        <v>-3.465516751478112E-3</v>
      </c>
      <c r="AB70" s="3">
        <f t="shared" si="30"/>
        <v>3.2711890419348801</v>
      </c>
      <c r="AC70" s="3">
        <f t="shared" si="31"/>
        <v>3.550017060548972</v>
      </c>
      <c r="AD70" s="3">
        <f t="shared" si="32"/>
        <v>-1.1544733819220685</v>
      </c>
      <c r="AE70" s="3">
        <f t="shared" si="33"/>
        <v>-3.2952412681630907</v>
      </c>
      <c r="AF70" s="3">
        <f t="shared" si="34"/>
        <v>-2.8570306360535396</v>
      </c>
      <c r="AG70" s="3">
        <f t="shared" si="35"/>
        <v>4.3736771448316505</v>
      </c>
      <c r="AH70" s="3">
        <f t="shared" si="36"/>
        <v>3.5153031319654078</v>
      </c>
      <c r="AI70" s="3">
        <f t="shared" si="37"/>
        <v>3.505568857864739</v>
      </c>
      <c r="AJ70" s="11">
        <f t="shared" si="38"/>
        <v>-5.4415538633196148</v>
      </c>
    </row>
    <row r="71" spans="1:36" ht="18" customHeight="1" x14ac:dyDescent="0.25">
      <c r="A71" s="17">
        <v>14</v>
      </c>
      <c r="B71" s="2">
        <v>54</v>
      </c>
      <c r="C71" s="2">
        <v>0</v>
      </c>
      <c r="D71" s="2">
        <v>1</v>
      </c>
      <c r="E71" s="2">
        <v>1</v>
      </c>
      <c r="F71" s="3">
        <f t="shared" si="24"/>
        <v>3.2711890419348801</v>
      </c>
      <c r="G71" s="3">
        <f t="shared" si="24"/>
        <v>3.550017060548972</v>
      </c>
      <c r="H71" s="3">
        <f t="shared" si="24"/>
        <v>-1.1544733819220685</v>
      </c>
      <c r="I71" s="3">
        <f t="shared" si="23"/>
        <v>-3.2952412681630907</v>
      </c>
      <c r="J71" s="3">
        <f t="shared" si="23"/>
        <v>-2.8570306360535396</v>
      </c>
      <c r="K71" s="3">
        <f t="shared" si="23"/>
        <v>4.3736771448316505</v>
      </c>
      <c r="L71" s="3">
        <f t="shared" si="23"/>
        <v>3.5153031319654078</v>
      </c>
      <c r="M71" s="3">
        <f t="shared" si="23"/>
        <v>3.505568857864739</v>
      </c>
      <c r="N71" s="3">
        <f t="shared" si="23"/>
        <v>-5.4415538633196148</v>
      </c>
      <c r="O71" s="3">
        <f t="shared" si="0"/>
        <v>2.3955436786269035</v>
      </c>
      <c r="P71" s="3">
        <f t="shared" si="1"/>
        <v>0.91648685489852644</v>
      </c>
      <c r="Q71" s="3">
        <f t="shared" si="2"/>
        <v>1.5166465087781109</v>
      </c>
      <c r="R71" s="3">
        <f t="shared" si="3"/>
        <v>0.82004413104185836</v>
      </c>
      <c r="S71" s="3">
        <f t="shared" si="4"/>
        <v>0.65489641596539183</v>
      </c>
      <c r="T71" s="4">
        <f t="shared" si="5"/>
        <v>0.65811300899332903</v>
      </c>
      <c r="U71" s="1">
        <f t="shared" si="25"/>
        <v>1</v>
      </c>
      <c r="V71" s="3">
        <f t="shared" si="7"/>
        <v>0.34188699100667097</v>
      </c>
      <c r="W71" s="3">
        <f t="shared" si="26"/>
        <v>5.8443357309797758E-2</v>
      </c>
      <c r="X71" s="5" t="str">
        <f t="shared" si="22"/>
        <v>PASS</v>
      </c>
      <c r="Y71" s="3">
        <f t="shared" si="27"/>
        <v>7.6924667469646546E-2</v>
      </c>
      <c r="Z71" s="3">
        <f t="shared" si="28"/>
        <v>2.0697099544220766E-2</v>
      </c>
      <c r="AA71" s="3">
        <f t="shared" si="29"/>
        <v>3.9794895578061901E-2</v>
      </c>
      <c r="AB71" s="3">
        <f t="shared" si="30"/>
        <v>3.2711890419348801</v>
      </c>
      <c r="AC71" s="3">
        <f t="shared" si="31"/>
        <v>3.6017598094095238</v>
      </c>
      <c r="AD71" s="3">
        <f t="shared" si="32"/>
        <v>-1.1027306330615165</v>
      </c>
      <c r="AE71" s="3">
        <f t="shared" si="33"/>
        <v>-3.2952412681630907</v>
      </c>
      <c r="AF71" s="3">
        <f t="shared" si="34"/>
        <v>-2.7575433971083849</v>
      </c>
      <c r="AG71" s="3">
        <f t="shared" si="35"/>
        <v>4.4731643837768056</v>
      </c>
      <c r="AH71" s="3">
        <f t="shared" si="36"/>
        <v>3.6915542483488362</v>
      </c>
      <c r="AI71" s="3">
        <f t="shared" si="37"/>
        <v>3.6632729130918147</v>
      </c>
      <c r="AJ71" s="11">
        <f t="shared" si="38"/>
        <v>-5.2492421946454986</v>
      </c>
    </row>
    <row r="72" spans="1:36" ht="18" customHeight="1" x14ac:dyDescent="0.25">
      <c r="A72" s="17">
        <v>14</v>
      </c>
      <c r="B72" s="2">
        <v>55</v>
      </c>
      <c r="C72" s="2">
        <v>1</v>
      </c>
      <c r="D72" s="2">
        <v>0</v>
      </c>
      <c r="E72" s="2">
        <v>1</v>
      </c>
      <c r="F72" s="3">
        <f t="shared" si="24"/>
        <v>3.2711890419348801</v>
      </c>
      <c r="G72" s="3">
        <f t="shared" si="24"/>
        <v>3.6017598094095238</v>
      </c>
      <c r="H72" s="3">
        <f t="shared" si="24"/>
        <v>-1.1027306330615165</v>
      </c>
      <c r="I72" s="3">
        <f t="shared" si="23"/>
        <v>-3.2952412681630907</v>
      </c>
      <c r="J72" s="3">
        <f t="shared" si="23"/>
        <v>-2.7575433971083849</v>
      </c>
      <c r="K72" s="3">
        <f t="shared" si="23"/>
        <v>4.4731643837768056</v>
      </c>
      <c r="L72" s="3">
        <f t="shared" si="23"/>
        <v>3.6915542483488362</v>
      </c>
      <c r="M72" s="3">
        <f t="shared" si="23"/>
        <v>3.6632729130918147</v>
      </c>
      <c r="N72" s="3">
        <f t="shared" si="23"/>
        <v>-5.2492421946454986</v>
      </c>
      <c r="O72" s="3">
        <f t="shared" si="0"/>
        <v>2.1684584088733638</v>
      </c>
      <c r="P72" s="3">
        <f t="shared" si="1"/>
        <v>0.89738109103926</v>
      </c>
      <c r="Q72" s="3">
        <f t="shared" si="2"/>
        <v>1.1779231156137149</v>
      </c>
      <c r="R72" s="3">
        <f t="shared" si="3"/>
        <v>0.76457416895972974</v>
      </c>
      <c r="S72" s="3">
        <f t="shared" si="4"/>
        <v>0.86433262756825791</v>
      </c>
      <c r="T72" s="4">
        <f t="shared" si="5"/>
        <v>0.70356506887450054</v>
      </c>
      <c r="U72" s="1">
        <f t="shared" si="25"/>
        <v>1</v>
      </c>
      <c r="V72" s="3">
        <f t="shared" si="7"/>
        <v>0.29643493112549946</v>
      </c>
      <c r="W72" s="3">
        <f t="shared" si="26"/>
        <v>4.3936834195689806E-2</v>
      </c>
      <c r="X72" s="5" t="str">
        <f t="shared" si="22"/>
        <v>PASS</v>
      </c>
      <c r="Y72" s="3">
        <f t="shared" si="27"/>
        <v>6.1824843554036016E-2</v>
      </c>
      <c r="Z72" s="3">
        <f t="shared" si="28"/>
        <v>2.1017283771900212E-2</v>
      </c>
      <c r="AA72" s="3">
        <f t="shared" si="29"/>
        <v>4.0766744760555959E-2</v>
      </c>
      <c r="AB72" s="3">
        <f t="shared" si="30"/>
        <v>3.3237322513646306</v>
      </c>
      <c r="AC72" s="3">
        <f t="shared" si="31"/>
        <v>3.6017598094095238</v>
      </c>
      <c r="AD72" s="3">
        <f t="shared" si="32"/>
        <v>-1.0501874236317661</v>
      </c>
      <c r="AE72" s="3">
        <f t="shared" si="33"/>
        <v>-3.1933244062617008</v>
      </c>
      <c r="AF72" s="3">
        <f t="shared" si="34"/>
        <v>-2.7575433971083849</v>
      </c>
      <c r="AG72" s="3">
        <f t="shared" si="35"/>
        <v>4.5750812456781951</v>
      </c>
      <c r="AH72" s="3">
        <f t="shared" si="36"/>
        <v>3.830255362253467</v>
      </c>
      <c r="AI72" s="3">
        <f t="shared" si="37"/>
        <v>3.7814471090452955</v>
      </c>
      <c r="AJ72" s="11">
        <f t="shared" si="38"/>
        <v>-5.0946800857604089</v>
      </c>
    </row>
    <row r="73" spans="1:36" ht="18" customHeight="1" x14ac:dyDescent="0.25">
      <c r="A73" s="17">
        <v>14</v>
      </c>
      <c r="B73" s="2">
        <v>56</v>
      </c>
      <c r="C73" s="2">
        <v>1</v>
      </c>
      <c r="D73" s="2">
        <v>1</v>
      </c>
      <c r="E73" s="2">
        <v>0</v>
      </c>
      <c r="F73" s="3">
        <f t="shared" si="24"/>
        <v>3.3237322513646306</v>
      </c>
      <c r="G73" s="3">
        <f t="shared" si="24"/>
        <v>3.6017598094095238</v>
      </c>
      <c r="H73" s="3">
        <f t="shared" si="24"/>
        <v>-1.0501874236317661</v>
      </c>
      <c r="I73" s="3">
        <f t="shared" si="23"/>
        <v>-3.1933244062617008</v>
      </c>
      <c r="J73" s="3">
        <f t="shared" si="23"/>
        <v>-2.7575433971083849</v>
      </c>
      <c r="K73" s="3">
        <f t="shared" si="23"/>
        <v>4.5750812456781951</v>
      </c>
      <c r="L73" s="3">
        <f t="shared" si="23"/>
        <v>3.830255362253467</v>
      </c>
      <c r="M73" s="3">
        <f t="shared" si="23"/>
        <v>3.7814471090452955</v>
      </c>
      <c r="N73" s="3">
        <f t="shared" si="23"/>
        <v>-5.0946800857604089</v>
      </c>
      <c r="O73" s="3">
        <f t="shared" si="0"/>
        <v>5.8753046371423876</v>
      </c>
      <c r="P73" s="3">
        <f t="shared" si="1"/>
        <v>0.99719992378046407</v>
      </c>
      <c r="Q73" s="3">
        <f t="shared" si="2"/>
        <v>-1.3757865576918906</v>
      </c>
      <c r="R73" s="3">
        <f t="shared" si="3"/>
        <v>0.20168654960982543</v>
      </c>
      <c r="S73" s="3">
        <f t="shared" si="4"/>
        <v>-0.51248271050614314</v>
      </c>
      <c r="T73" s="4">
        <f t="shared" si="5"/>
        <v>0.37461170081480938</v>
      </c>
      <c r="U73" s="1">
        <f t="shared" si="25"/>
        <v>0</v>
      </c>
      <c r="V73" s="3">
        <f t="shared" si="7"/>
        <v>-0.37461170081480938</v>
      </c>
      <c r="W73" s="3">
        <f t="shared" si="26"/>
        <v>7.0166963193682125E-2</v>
      </c>
      <c r="X73" s="5" t="str">
        <f t="shared" si="22"/>
        <v>PASS</v>
      </c>
      <c r="Y73" s="3">
        <f t="shared" si="27"/>
        <v>-8.7763195541373476E-2</v>
      </c>
      <c r="Z73" s="3">
        <f t="shared" si="28"/>
        <v>-9.386252803252152E-4</v>
      </c>
      <c r="AA73" s="3">
        <f t="shared" si="29"/>
        <v>-5.3434388172763636E-2</v>
      </c>
      <c r="AB73" s="3">
        <f t="shared" si="30"/>
        <v>3.3213856881638177</v>
      </c>
      <c r="AC73" s="3">
        <f t="shared" si="31"/>
        <v>3.5994132462087109</v>
      </c>
      <c r="AD73" s="3">
        <f t="shared" si="32"/>
        <v>-1.0525339868325791</v>
      </c>
      <c r="AE73" s="3">
        <f t="shared" si="33"/>
        <v>-3.3269103766936099</v>
      </c>
      <c r="AF73" s="3">
        <f t="shared" si="34"/>
        <v>-2.891129367540294</v>
      </c>
      <c r="AG73" s="3">
        <f t="shared" si="35"/>
        <v>4.441495275246286</v>
      </c>
      <c r="AH73" s="3">
        <f t="shared" si="36"/>
        <v>3.611461732491998</v>
      </c>
      <c r="AI73" s="3">
        <f t="shared" si="37"/>
        <v>3.7371954688166156</v>
      </c>
      <c r="AJ73" s="11">
        <f t="shared" si="38"/>
        <v>-5.3140880746138421</v>
      </c>
    </row>
    <row r="74" spans="1:36" ht="18" customHeight="1" x14ac:dyDescent="0.25">
      <c r="A74" s="17">
        <v>15</v>
      </c>
      <c r="B74" s="2">
        <v>57</v>
      </c>
      <c r="C74" s="2">
        <v>0</v>
      </c>
      <c r="D74" s="2">
        <v>0</v>
      </c>
      <c r="E74" s="2">
        <v>0</v>
      </c>
      <c r="F74" s="3">
        <f t="shared" si="24"/>
        <v>3.3213856881638177</v>
      </c>
      <c r="G74" s="3">
        <f t="shared" si="24"/>
        <v>3.5994132462087109</v>
      </c>
      <c r="H74" s="3">
        <f t="shared" si="24"/>
        <v>-1.0525339868325791</v>
      </c>
      <c r="I74" s="3">
        <f t="shared" si="23"/>
        <v>-3.3269103766936099</v>
      </c>
      <c r="J74" s="3">
        <f t="shared" si="23"/>
        <v>-2.891129367540294</v>
      </c>
      <c r="K74" s="3">
        <f t="shared" si="23"/>
        <v>4.441495275246286</v>
      </c>
      <c r="L74" s="3">
        <f t="shared" si="23"/>
        <v>3.611461732491998</v>
      </c>
      <c r="M74" s="3">
        <f t="shared" si="23"/>
        <v>3.7371954688166156</v>
      </c>
      <c r="N74" s="3">
        <f t="shared" si="23"/>
        <v>-5.3140880746138421</v>
      </c>
      <c r="O74" s="3">
        <f t="shared" si="0"/>
        <v>-1.0525339868325791</v>
      </c>
      <c r="P74" s="3">
        <f t="shared" si="1"/>
        <v>0.25873880275390787</v>
      </c>
      <c r="Q74" s="3">
        <f t="shared" si="2"/>
        <v>4.441495275246286</v>
      </c>
      <c r="R74" s="3">
        <f t="shared" si="3"/>
        <v>0.98835880017606748</v>
      </c>
      <c r="S74" s="3">
        <f t="shared" si="4"/>
        <v>-0.6859727601742831</v>
      </c>
      <c r="T74" s="4">
        <f t="shared" si="5"/>
        <v>0.33492955078368375</v>
      </c>
      <c r="U74" s="1">
        <f t="shared" si="25"/>
        <v>0</v>
      </c>
      <c r="V74" s="3">
        <f t="shared" si="7"/>
        <v>-0.33492955078368375</v>
      </c>
      <c r="W74" s="3">
        <f t="shared" si="26"/>
        <v>5.6088901994080093E-2</v>
      </c>
      <c r="X74" s="5" t="str">
        <f t="shared" si="22"/>
        <v>PASS</v>
      </c>
      <c r="Y74" s="3">
        <f t="shared" si="27"/>
        <v>-7.4606142490505567E-2</v>
      </c>
      <c r="Z74" s="3">
        <f t="shared" si="28"/>
        <v>-5.1676183737814942E-2</v>
      </c>
      <c r="AA74" s="3">
        <f t="shared" si="29"/>
        <v>-3.2079883065136874E-3</v>
      </c>
      <c r="AB74" s="3">
        <f t="shared" si="30"/>
        <v>3.3213856881638177</v>
      </c>
      <c r="AC74" s="3">
        <f t="shared" si="31"/>
        <v>3.5994132462087109</v>
      </c>
      <c r="AD74" s="3">
        <f t="shared" si="32"/>
        <v>-1.1817244461771166</v>
      </c>
      <c r="AE74" s="3">
        <f t="shared" si="33"/>
        <v>-3.3269103766936099</v>
      </c>
      <c r="AF74" s="3">
        <f t="shared" si="34"/>
        <v>-2.891129367540294</v>
      </c>
      <c r="AG74" s="3">
        <f t="shared" si="35"/>
        <v>4.4334753044800017</v>
      </c>
      <c r="AH74" s="3">
        <f t="shared" si="36"/>
        <v>3.563202972526796</v>
      </c>
      <c r="AI74" s="3">
        <f t="shared" si="37"/>
        <v>3.5528513751224136</v>
      </c>
      <c r="AJ74" s="11">
        <f t="shared" si="38"/>
        <v>-5.5006034308401057</v>
      </c>
    </row>
    <row r="75" spans="1:36" ht="18" customHeight="1" x14ac:dyDescent="0.25">
      <c r="A75" s="17">
        <v>15</v>
      </c>
      <c r="B75" s="2">
        <v>58</v>
      </c>
      <c r="C75" s="2">
        <v>0</v>
      </c>
      <c r="D75" s="2">
        <v>1</v>
      </c>
      <c r="E75" s="2">
        <v>1</v>
      </c>
      <c r="F75" s="3">
        <f t="shared" si="24"/>
        <v>3.3213856881638177</v>
      </c>
      <c r="G75" s="3">
        <f t="shared" si="24"/>
        <v>3.5994132462087109</v>
      </c>
      <c r="H75" s="3">
        <f t="shared" si="24"/>
        <v>-1.1817244461771166</v>
      </c>
      <c r="I75" s="3">
        <f t="shared" si="23"/>
        <v>-3.3269103766936099</v>
      </c>
      <c r="J75" s="3">
        <f t="shared" si="23"/>
        <v>-2.891129367540294</v>
      </c>
      <c r="K75" s="3">
        <f t="shared" si="23"/>
        <v>4.4334753044800017</v>
      </c>
      <c r="L75" s="3">
        <f t="shared" si="23"/>
        <v>3.563202972526796</v>
      </c>
      <c r="M75" s="3">
        <f t="shared" si="23"/>
        <v>3.5528513751224136</v>
      </c>
      <c r="N75" s="3">
        <f t="shared" si="23"/>
        <v>-5.5006034308401057</v>
      </c>
      <c r="O75" s="3">
        <f t="shared" si="0"/>
        <v>2.4176888000315944</v>
      </c>
      <c r="P75" s="3">
        <f t="shared" si="1"/>
        <v>0.9181662556948651</v>
      </c>
      <c r="Q75" s="3">
        <f t="shared" si="2"/>
        <v>1.5423459369397077</v>
      </c>
      <c r="R75" s="3">
        <f t="shared" si="3"/>
        <v>0.82380549667144976</v>
      </c>
      <c r="S75" s="3">
        <f t="shared" si="4"/>
        <v>0.69786779240819907</v>
      </c>
      <c r="T75" s="4">
        <f t="shared" si="5"/>
        <v>0.66771486488582665</v>
      </c>
      <c r="U75" s="1">
        <f t="shared" si="25"/>
        <v>1</v>
      </c>
      <c r="V75" s="3">
        <f t="shared" si="7"/>
        <v>0.33228513511417335</v>
      </c>
      <c r="W75" s="3">
        <f t="shared" si="26"/>
        <v>5.5206705508922219E-2</v>
      </c>
      <c r="X75" s="5" t="str">
        <f t="shared" si="22"/>
        <v>PASS</v>
      </c>
      <c r="Y75" s="3">
        <f t="shared" si="27"/>
        <v>7.3724675819363247E-2</v>
      </c>
      <c r="Z75" s="3">
        <f t="shared" si="28"/>
        <v>1.9738183580521963E-2</v>
      </c>
      <c r="AA75" s="3">
        <f t="shared" si="29"/>
        <v>3.8019548308066579E-2</v>
      </c>
      <c r="AB75" s="3">
        <f t="shared" si="30"/>
        <v>3.3213856881638177</v>
      </c>
      <c r="AC75" s="3">
        <f t="shared" si="31"/>
        <v>3.6487587051600157</v>
      </c>
      <c r="AD75" s="3">
        <f t="shared" si="32"/>
        <v>-1.1323789872258117</v>
      </c>
      <c r="AE75" s="3">
        <f t="shared" si="33"/>
        <v>-3.3269103766936099</v>
      </c>
      <c r="AF75" s="3">
        <f t="shared" si="34"/>
        <v>-2.7960804967701276</v>
      </c>
      <c r="AG75" s="3">
        <f t="shared" si="35"/>
        <v>4.5285241752501681</v>
      </c>
      <c r="AH75" s="3">
        <f t="shared" si="36"/>
        <v>3.7324317464002523</v>
      </c>
      <c r="AI75" s="3">
        <f t="shared" si="37"/>
        <v>3.7046883580731942</v>
      </c>
      <c r="AJ75" s="11">
        <f t="shared" si="38"/>
        <v>-5.3162917412916979</v>
      </c>
    </row>
    <row r="76" spans="1:36" ht="18" customHeight="1" x14ac:dyDescent="0.25">
      <c r="A76" s="17">
        <v>15</v>
      </c>
      <c r="B76" s="2">
        <v>59</v>
      </c>
      <c r="C76" s="2">
        <v>1</v>
      </c>
      <c r="D76" s="2">
        <v>0</v>
      </c>
      <c r="E76" s="2">
        <v>1</v>
      </c>
      <c r="F76" s="3">
        <f t="shared" si="24"/>
        <v>3.3213856881638177</v>
      </c>
      <c r="G76" s="3">
        <f t="shared" si="24"/>
        <v>3.6487587051600157</v>
      </c>
      <c r="H76" s="3">
        <f t="shared" si="24"/>
        <v>-1.1323789872258117</v>
      </c>
      <c r="I76" s="3">
        <f t="shared" si="23"/>
        <v>-3.3269103766936099</v>
      </c>
      <c r="J76" s="3">
        <f t="shared" si="23"/>
        <v>-2.7960804967701276</v>
      </c>
      <c r="K76" s="3">
        <f t="shared" si="23"/>
        <v>4.5285241752501681</v>
      </c>
      <c r="L76" s="3">
        <f t="shared" si="23"/>
        <v>3.7324317464002523</v>
      </c>
      <c r="M76" s="3">
        <f t="shared" si="23"/>
        <v>3.7046883580731942</v>
      </c>
      <c r="N76" s="3">
        <f t="shared" si="23"/>
        <v>-5.3162917412916979</v>
      </c>
      <c r="O76" s="3">
        <f t="shared" si="0"/>
        <v>2.1890067009380063</v>
      </c>
      <c r="P76" s="3">
        <f t="shared" si="1"/>
        <v>0.89925795609017101</v>
      </c>
      <c r="Q76" s="3">
        <f t="shared" si="2"/>
        <v>1.2016137985565583</v>
      </c>
      <c r="R76" s="3">
        <f t="shared" si="3"/>
        <v>0.76881174487502324</v>
      </c>
      <c r="S76" s="3">
        <f t="shared" si="4"/>
        <v>0.88833512301069817</v>
      </c>
      <c r="T76" s="4">
        <f t="shared" si="5"/>
        <v>0.70854648095123474</v>
      </c>
      <c r="U76" s="1">
        <f t="shared" si="25"/>
        <v>1</v>
      </c>
      <c r="V76" s="3">
        <f t="shared" si="7"/>
        <v>0.29145351904876526</v>
      </c>
      <c r="W76" s="3">
        <f t="shared" si="26"/>
        <v>4.2472576882954485E-2</v>
      </c>
      <c r="X76" s="5" t="str">
        <f t="shared" si="22"/>
        <v>PASS</v>
      </c>
      <c r="Y76" s="3">
        <f t="shared" si="27"/>
        <v>6.0187589774696335E-2</v>
      </c>
      <c r="Z76" s="3">
        <f t="shared" si="28"/>
        <v>2.0351380475588935E-2</v>
      </c>
      <c r="AA76" s="3">
        <f t="shared" si="29"/>
        <v>3.9631855821701596E-2</v>
      </c>
      <c r="AB76" s="3">
        <f t="shared" si="30"/>
        <v>3.3722641393527901</v>
      </c>
      <c r="AC76" s="3">
        <f t="shared" si="31"/>
        <v>3.6487587051600157</v>
      </c>
      <c r="AD76" s="3">
        <f t="shared" si="32"/>
        <v>-1.0815005360368393</v>
      </c>
      <c r="AE76" s="3">
        <f t="shared" si="33"/>
        <v>-3.2278307371393558</v>
      </c>
      <c r="AF76" s="3">
        <f t="shared" si="34"/>
        <v>-2.7960804967701276</v>
      </c>
      <c r="AG76" s="3">
        <f t="shared" si="35"/>
        <v>4.6276038148044218</v>
      </c>
      <c r="AH76" s="3">
        <f t="shared" si="36"/>
        <v>3.86774216880722</v>
      </c>
      <c r="AI76" s="3">
        <f t="shared" si="37"/>
        <v>3.8203706728594602</v>
      </c>
      <c r="AJ76" s="11">
        <f t="shared" si="38"/>
        <v>-5.1658227668549568</v>
      </c>
    </row>
    <row r="77" spans="1:36" ht="18" customHeight="1" x14ac:dyDescent="0.25">
      <c r="A77" s="17">
        <v>15</v>
      </c>
      <c r="B77" s="2">
        <v>60</v>
      </c>
      <c r="C77" s="2">
        <v>1</v>
      </c>
      <c r="D77" s="2">
        <v>1</v>
      </c>
      <c r="E77" s="2">
        <v>0</v>
      </c>
      <c r="F77" s="3">
        <f t="shared" si="24"/>
        <v>3.3722641393527901</v>
      </c>
      <c r="G77" s="3">
        <f t="shared" si="24"/>
        <v>3.6487587051600157</v>
      </c>
      <c r="H77" s="3">
        <f t="shared" si="24"/>
        <v>-1.0815005360368393</v>
      </c>
      <c r="I77" s="3">
        <f t="shared" si="23"/>
        <v>-3.2278307371393558</v>
      </c>
      <c r="J77" s="3">
        <f t="shared" si="23"/>
        <v>-2.7960804967701276</v>
      </c>
      <c r="K77" s="3">
        <f t="shared" si="23"/>
        <v>4.6276038148044218</v>
      </c>
      <c r="L77" s="3">
        <f t="shared" si="23"/>
        <v>3.86774216880722</v>
      </c>
      <c r="M77" s="3">
        <f t="shared" si="23"/>
        <v>3.8203706728594602</v>
      </c>
      <c r="N77" s="3">
        <f t="shared" si="23"/>
        <v>-5.1658227668549568</v>
      </c>
      <c r="O77" s="3">
        <f t="shared" si="0"/>
        <v>5.9395223084759667</v>
      </c>
      <c r="P77" s="3">
        <f t="shared" si="1"/>
        <v>0.99737362874033419</v>
      </c>
      <c r="Q77" s="3">
        <f t="shared" si="2"/>
        <v>-1.396307419105062</v>
      </c>
      <c r="R77" s="3">
        <f t="shared" si="3"/>
        <v>0.19840272215847737</v>
      </c>
      <c r="S77" s="3">
        <f t="shared" si="4"/>
        <v>-0.55026678376995886</v>
      </c>
      <c r="T77" s="4">
        <f t="shared" si="5"/>
        <v>0.36580251533072466</v>
      </c>
      <c r="U77" s="1">
        <f t="shared" si="25"/>
        <v>0</v>
      </c>
      <c r="V77" s="3">
        <f t="shared" si="7"/>
        <v>-0.36580251533072466</v>
      </c>
      <c r="W77" s="3">
        <f t="shared" si="26"/>
        <v>6.6905740111142531E-2</v>
      </c>
      <c r="X77" s="5" t="str">
        <f t="shared" si="22"/>
        <v>PASS</v>
      </c>
      <c r="Y77" s="3">
        <f t="shared" si="27"/>
        <v>-8.4862904176845666E-2</v>
      </c>
      <c r="Z77" s="3">
        <f t="shared" si="28"/>
        <v>-8.5978408887211891E-4</v>
      </c>
      <c r="AA77" s="3">
        <f t="shared" si="29"/>
        <v>-5.1561702989452854E-2</v>
      </c>
      <c r="AB77" s="3">
        <f t="shared" si="30"/>
        <v>3.37011467913061</v>
      </c>
      <c r="AC77" s="3">
        <f t="shared" si="31"/>
        <v>3.6466092449378356</v>
      </c>
      <c r="AD77" s="3">
        <f t="shared" si="32"/>
        <v>-1.0836499962590196</v>
      </c>
      <c r="AE77" s="3">
        <f t="shared" si="33"/>
        <v>-3.3567349946129879</v>
      </c>
      <c r="AF77" s="3">
        <f t="shared" si="34"/>
        <v>-2.9249847542437597</v>
      </c>
      <c r="AG77" s="3">
        <f t="shared" si="35"/>
        <v>4.4986995573307897</v>
      </c>
      <c r="AH77" s="3">
        <f t="shared" si="36"/>
        <v>3.6561421120964606</v>
      </c>
      <c r="AI77" s="3">
        <f t="shared" si="37"/>
        <v>3.7782780948620598</v>
      </c>
      <c r="AJ77" s="11">
        <f t="shared" si="38"/>
        <v>-5.3779800272970713</v>
      </c>
    </row>
    <row r="78" spans="1:36" ht="18" customHeight="1" x14ac:dyDescent="0.25">
      <c r="A78" s="17">
        <v>16</v>
      </c>
      <c r="B78" s="2">
        <v>61</v>
      </c>
      <c r="C78" s="2">
        <v>0</v>
      </c>
      <c r="D78" s="2">
        <v>0</v>
      </c>
      <c r="E78" s="2">
        <v>0</v>
      </c>
      <c r="F78" s="3">
        <f t="shared" si="24"/>
        <v>3.37011467913061</v>
      </c>
      <c r="G78" s="3">
        <f t="shared" si="24"/>
        <v>3.6466092449378356</v>
      </c>
      <c r="H78" s="3">
        <f t="shared" si="24"/>
        <v>-1.0836499962590196</v>
      </c>
      <c r="I78" s="3">
        <f t="shared" si="23"/>
        <v>-3.3567349946129879</v>
      </c>
      <c r="J78" s="3">
        <f t="shared" si="23"/>
        <v>-2.9249847542437597</v>
      </c>
      <c r="K78" s="3">
        <f t="shared" si="23"/>
        <v>4.4986995573307897</v>
      </c>
      <c r="L78" s="3">
        <f t="shared" si="23"/>
        <v>3.6561421120964606</v>
      </c>
      <c r="M78" s="3">
        <f t="shared" si="23"/>
        <v>3.7782780948620598</v>
      </c>
      <c r="N78" s="3">
        <f t="shared" si="23"/>
        <v>-5.3779800272970713</v>
      </c>
      <c r="O78" s="3">
        <f t="shared" si="0"/>
        <v>-1.0836499962590196</v>
      </c>
      <c r="P78" s="3">
        <f t="shared" si="1"/>
        <v>0.25281591041244672</v>
      </c>
      <c r="Q78" s="3">
        <f t="shared" si="2"/>
        <v>4.4986995573307897</v>
      </c>
      <c r="R78" s="3">
        <f t="shared" si="3"/>
        <v>0.98899891747058066</v>
      </c>
      <c r="S78" s="3">
        <f t="shared" si="4"/>
        <v>-0.71693618490873323</v>
      </c>
      <c r="T78" s="4">
        <f t="shared" si="5"/>
        <v>0.32806801235519228</v>
      </c>
      <c r="U78" s="1">
        <f t="shared" si="25"/>
        <v>0</v>
      </c>
      <c r="V78" s="3">
        <f t="shared" si="7"/>
        <v>-0.32806801235519228</v>
      </c>
      <c r="W78" s="3">
        <f t="shared" si="26"/>
        <v>5.3814310365343301E-2</v>
      </c>
      <c r="X78" s="5" t="str">
        <f t="shared" si="22"/>
        <v>PASS</v>
      </c>
      <c r="Y78" s="3">
        <f t="shared" si="27"/>
        <v>-7.2319113055039408E-2</v>
      </c>
      <c r="Z78" s="3">
        <f t="shared" si="28"/>
        <v>-4.9946858388507313E-2</v>
      </c>
      <c r="AA78" s="3">
        <f t="shared" si="29"/>
        <v>-2.9728859639012221E-3</v>
      </c>
      <c r="AB78" s="3">
        <f t="shared" si="30"/>
        <v>3.37011467913061</v>
      </c>
      <c r="AC78" s="3">
        <f t="shared" si="31"/>
        <v>3.6466092449378356</v>
      </c>
      <c r="AD78" s="3">
        <f t="shared" si="32"/>
        <v>-1.2085171422302878</v>
      </c>
      <c r="AE78" s="3">
        <f t="shared" si="33"/>
        <v>-3.3567349946129879</v>
      </c>
      <c r="AF78" s="3">
        <f t="shared" si="34"/>
        <v>-2.9249847542437597</v>
      </c>
      <c r="AG78" s="3">
        <f t="shared" si="35"/>
        <v>4.491267342421037</v>
      </c>
      <c r="AH78" s="3">
        <f t="shared" si="36"/>
        <v>3.6104335560783842</v>
      </c>
      <c r="AI78" s="3">
        <f t="shared" si="37"/>
        <v>3.5994692835523936</v>
      </c>
      <c r="AJ78" s="11">
        <f t="shared" si="38"/>
        <v>-5.5587778099346696</v>
      </c>
    </row>
    <row r="79" spans="1:36" ht="18" customHeight="1" x14ac:dyDescent="0.25">
      <c r="A79" s="17">
        <v>16</v>
      </c>
      <c r="B79" s="2">
        <v>62</v>
      </c>
      <c r="C79" s="2">
        <v>0</v>
      </c>
      <c r="D79" s="2">
        <v>1</v>
      </c>
      <c r="E79" s="2">
        <v>1</v>
      </c>
      <c r="F79" s="3">
        <f t="shared" si="24"/>
        <v>3.37011467913061</v>
      </c>
      <c r="G79" s="3">
        <f t="shared" si="24"/>
        <v>3.6466092449378356</v>
      </c>
      <c r="H79" s="3">
        <f t="shared" si="24"/>
        <v>-1.2085171422302878</v>
      </c>
      <c r="I79" s="3">
        <f t="shared" si="24"/>
        <v>-3.3567349946129879</v>
      </c>
      <c r="J79" s="3">
        <f t="shared" si="24"/>
        <v>-2.9249847542437597</v>
      </c>
      <c r="K79" s="3">
        <f t="shared" si="24"/>
        <v>4.491267342421037</v>
      </c>
      <c r="L79" s="3">
        <f t="shared" si="24"/>
        <v>3.6104335560783842</v>
      </c>
      <c r="M79" s="3">
        <f t="shared" si="24"/>
        <v>3.5994692835523936</v>
      </c>
      <c r="N79" s="3">
        <f t="shared" si="24"/>
        <v>-5.5587778099346696</v>
      </c>
      <c r="O79" s="3">
        <f t="shared" si="0"/>
        <v>2.4380921027075475</v>
      </c>
      <c r="P79" s="3">
        <f t="shared" si="1"/>
        <v>0.9196862767835301</v>
      </c>
      <c r="Q79" s="3">
        <f t="shared" si="2"/>
        <v>1.5662825881772773</v>
      </c>
      <c r="R79" s="3">
        <f t="shared" si="3"/>
        <v>0.82725301590106703</v>
      </c>
      <c r="S79" s="3">
        <f t="shared" si="4"/>
        <v>0.73936020529135149</v>
      </c>
      <c r="T79" s="4">
        <f t="shared" si="5"/>
        <v>0.67685593491122986</v>
      </c>
      <c r="U79" s="1">
        <f t="shared" si="25"/>
        <v>1</v>
      </c>
      <c r="V79" s="3">
        <f t="shared" si="7"/>
        <v>0.32314406508877014</v>
      </c>
      <c r="W79" s="3">
        <f t="shared" si="26"/>
        <v>5.2211043401047659E-2</v>
      </c>
      <c r="X79" s="5" t="str">
        <f t="shared" si="22"/>
        <v>PASS</v>
      </c>
      <c r="Y79" s="3">
        <f t="shared" si="27"/>
        <v>7.0678709187813826E-2</v>
      </c>
      <c r="Z79" s="3">
        <f t="shared" si="28"/>
        <v>1.884852769359081E-2</v>
      </c>
      <c r="AA79" s="3">
        <f t="shared" si="29"/>
        <v>3.6355984892673568E-2</v>
      </c>
      <c r="AB79" s="3">
        <f t="shared" si="30"/>
        <v>3.37011467913061</v>
      </c>
      <c r="AC79" s="3">
        <f t="shared" si="31"/>
        <v>3.6937305641718128</v>
      </c>
      <c r="AD79" s="3">
        <f t="shared" si="32"/>
        <v>-1.1613958229963108</v>
      </c>
      <c r="AE79" s="3">
        <f t="shared" si="33"/>
        <v>-3.3567349946129879</v>
      </c>
      <c r="AF79" s="3">
        <f t="shared" si="34"/>
        <v>-2.8340947920120758</v>
      </c>
      <c r="AG79" s="3">
        <f t="shared" si="35"/>
        <v>4.5821573046527213</v>
      </c>
      <c r="AH79" s="3">
        <f t="shared" si="36"/>
        <v>3.7729391533304</v>
      </c>
      <c r="AI79" s="3">
        <f t="shared" si="37"/>
        <v>3.7456422218914271</v>
      </c>
      <c r="AJ79" s="11">
        <f t="shared" si="38"/>
        <v>-5.3820810369651353</v>
      </c>
    </row>
    <row r="80" spans="1:36" ht="18" customHeight="1" x14ac:dyDescent="0.25">
      <c r="A80" s="17">
        <v>16</v>
      </c>
      <c r="B80" s="2">
        <v>63</v>
      </c>
      <c r="C80" s="2">
        <v>1</v>
      </c>
      <c r="D80" s="2">
        <v>0</v>
      </c>
      <c r="E80" s="2">
        <v>1</v>
      </c>
      <c r="F80" s="3">
        <f t="shared" ref="F80:N108" si="39">AB79</f>
        <v>3.37011467913061</v>
      </c>
      <c r="G80" s="3">
        <f t="shared" si="39"/>
        <v>3.6937305641718128</v>
      </c>
      <c r="H80" s="3">
        <f t="shared" si="39"/>
        <v>-1.1613958229963108</v>
      </c>
      <c r="I80" s="3">
        <f t="shared" si="39"/>
        <v>-3.3567349946129879</v>
      </c>
      <c r="J80" s="3">
        <f t="shared" si="39"/>
        <v>-2.8340947920120758</v>
      </c>
      <c r="K80" s="3">
        <f t="shared" si="39"/>
        <v>4.5821573046527213</v>
      </c>
      <c r="L80" s="3">
        <f t="shared" si="39"/>
        <v>3.7729391533304</v>
      </c>
      <c r="M80" s="3">
        <f t="shared" si="39"/>
        <v>3.7456422218914271</v>
      </c>
      <c r="N80" s="3">
        <f t="shared" si="39"/>
        <v>-5.3820810369651353</v>
      </c>
      <c r="O80" s="3">
        <f t="shared" si="0"/>
        <v>2.2087188561342992</v>
      </c>
      <c r="P80" s="3">
        <f t="shared" si="1"/>
        <v>0.90102973931026709</v>
      </c>
      <c r="Q80" s="3">
        <f t="shared" si="2"/>
        <v>1.2254223100397335</v>
      </c>
      <c r="R80" s="3">
        <f t="shared" si="3"/>
        <v>0.77301636733096935</v>
      </c>
      <c r="S80" s="3">
        <f t="shared" si="4"/>
        <v>0.9128920884816667</v>
      </c>
      <c r="T80" s="4">
        <f t="shared" si="5"/>
        <v>0.71359160875781269</v>
      </c>
      <c r="U80" s="1">
        <f t="shared" si="25"/>
        <v>1</v>
      </c>
      <c r="V80" s="3">
        <f t="shared" si="7"/>
        <v>0.28640839124218731</v>
      </c>
      <c r="W80" s="3">
        <f t="shared" si="26"/>
        <v>4.1014883286968916E-2</v>
      </c>
      <c r="X80" s="5" t="str">
        <f t="shared" si="22"/>
        <v>PASS</v>
      </c>
      <c r="Y80" s="3">
        <f t="shared" si="27"/>
        <v>5.8535753095524147E-2</v>
      </c>
      <c r="Z80" s="3">
        <f t="shared" si="28"/>
        <v>1.96944950892484E-2</v>
      </c>
      <c r="AA80" s="3">
        <f t="shared" si="29"/>
        <v>3.8470757142571969E-2</v>
      </c>
      <c r="AB80" s="3">
        <f t="shared" si="30"/>
        <v>3.4193509168537308</v>
      </c>
      <c r="AC80" s="3">
        <f t="shared" si="31"/>
        <v>3.6937305641718128</v>
      </c>
      <c r="AD80" s="3">
        <f t="shared" si="32"/>
        <v>-1.1121595852731898</v>
      </c>
      <c r="AE80" s="3">
        <f t="shared" si="33"/>
        <v>-3.2605581017565579</v>
      </c>
      <c r="AF80" s="3">
        <f t="shared" si="34"/>
        <v>-2.8340947920120758</v>
      </c>
      <c r="AG80" s="3">
        <f t="shared" si="35"/>
        <v>4.6783341975091508</v>
      </c>
      <c r="AH80" s="3">
        <f t="shared" si="36"/>
        <v>3.9047952892103757</v>
      </c>
      <c r="AI80" s="3">
        <f t="shared" si="37"/>
        <v>3.8587649599336387</v>
      </c>
      <c r="AJ80" s="11">
        <f t="shared" si="38"/>
        <v>-5.2357416542263246</v>
      </c>
    </row>
    <row r="81" spans="1:36" ht="18" customHeight="1" x14ac:dyDescent="0.25">
      <c r="A81" s="17">
        <v>16</v>
      </c>
      <c r="B81" s="2">
        <v>64</v>
      </c>
      <c r="C81" s="2">
        <v>1</v>
      </c>
      <c r="D81" s="2">
        <v>1</v>
      </c>
      <c r="E81" s="2">
        <v>0</v>
      </c>
      <c r="F81" s="3">
        <f t="shared" si="39"/>
        <v>3.4193509168537308</v>
      </c>
      <c r="G81" s="3">
        <f t="shared" si="39"/>
        <v>3.6937305641718128</v>
      </c>
      <c r="H81" s="3">
        <f t="shared" si="39"/>
        <v>-1.1121595852731898</v>
      </c>
      <c r="I81" s="3">
        <f t="shared" si="39"/>
        <v>-3.2605581017565579</v>
      </c>
      <c r="J81" s="3">
        <f t="shared" si="39"/>
        <v>-2.8340947920120758</v>
      </c>
      <c r="K81" s="3">
        <f t="shared" si="39"/>
        <v>4.6783341975091508</v>
      </c>
      <c r="L81" s="3">
        <f t="shared" si="39"/>
        <v>3.9047952892103757</v>
      </c>
      <c r="M81" s="3">
        <f t="shared" si="39"/>
        <v>3.8587649599336387</v>
      </c>
      <c r="N81" s="3">
        <f t="shared" si="39"/>
        <v>-5.2357416542263246</v>
      </c>
      <c r="O81" s="3">
        <f t="shared" si="0"/>
        <v>6.000921895752354</v>
      </c>
      <c r="P81" s="3">
        <f t="shared" si="1"/>
        <v>0.99752964966517177</v>
      </c>
      <c r="Q81" s="3">
        <f t="shared" si="2"/>
        <v>-1.4163186962594834</v>
      </c>
      <c r="R81" s="3">
        <f t="shared" si="3"/>
        <v>0.19523934465440812</v>
      </c>
      <c r="S81" s="3">
        <f t="shared" si="4"/>
        <v>-0.58720983541324845</v>
      </c>
      <c r="T81" s="4">
        <f t="shared" si="5"/>
        <v>0.3572753033951464</v>
      </c>
      <c r="U81" s="1">
        <f t="shared" si="25"/>
        <v>0</v>
      </c>
      <c r="V81" s="3">
        <f t="shared" si="7"/>
        <v>-0.3572753033951464</v>
      </c>
      <c r="W81" s="3">
        <f t="shared" si="26"/>
        <v>6.3822821208046956E-2</v>
      </c>
      <c r="X81" s="5" t="str">
        <f t="shared" si="22"/>
        <v>PASS</v>
      </c>
      <c r="Y81" s="3">
        <f t="shared" si="27"/>
        <v>-8.2041006794815602E-2</v>
      </c>
      <c r="Z81" s="3">
        <f t="shared" si="28"/>
        <v>-7.8942997482885264E-4</v>
      </c>
      <c r="AA81" s="3">
        <f t="shared" si="29"/>
        <v>-4.9740870833484413E-2</v>
      </c>
      <c r="AB81" s="3">
        <f t="shared" si="30"/>
        <v>3.4173773419166587</v>
      </c>
      <c r="AC81" s="3">
        <f t="shared" si="31"/>
        <v>3.6917569892347406</v>
      </c>
      <c r="AD81" s="3">
        <f t="shared" si="32"/>
        <v>-1.114133160210262</v>
      </c>
      <c r="AE81" s="3">
        <f t="shared" si="33"/>
        <v>-3.3849102788402687</v>
      </c>
      <c r="AF81" s="3">
        <f t="shared" si="34"/>
        <v>-2.9584469690957866</v>
      </c>
      <c r="AG81" s="3">
        <f t="shared" si="35"/>
        <v>4.5539820204254395</v>
      </c>
      <c r="AH81" s="3">
        <f t="shared" si="36"/>
        <v>3.7001994472948496</v>
      </c>
      <c r="AI81" s="3">
        <f t="shared" si="37"/>
        <v>3.8187208789301197</v>
      </c>
      <c r="AJ81" s="11">
        <f t="shared" si="38"/>
        <v>-5.4408441712133637</v>
      </c>
    </row>
    <row r="82" spans="1:36" ht="18" customHeight="1" x14ac:dyDescent="0.25">
      <c r="A82" s="17">
        <v>17</v>
      </c>
      <c r="B82" s="2">
        <v>65</v>
      </c>
      <c r="C82" s="2">
        <v>0</v>
      </c>
      <c r="D82" s="2">
        <v>0</v>
      </c>
      <c r="E82" s="2">
        <v>0</v>
      </c>
      <c r="F82" s="3">
        <f t="shared" si="39"/>
        <v>3.4173773419166587</v>
      </c>
      <c r="G82" s="3">
        <f t="shared" si="39"/>
        <v>3.6917569892347406</v>
      </c>
      <c r="H82" s="3">
        <f t="shared" si="39"/>
        <v>-1.114133160210262</v>
      </c>
      <c r="I82" s="3">
        <f t="shared" si="39"/>
        <v>-3.3849102788402687</v>
      </c>
      <c r="J82" s="3">
        <f t="shared" si="39"/>
        <v>-2.9584469690957866</v>
      </c>
      <c r="K82" s="3">
        <f t="shared" si="39"/>
        <v>4.5539820204254395</v>
      </c>
      <c r="L82" s="3">
        <f t="shared" si="39"/>
        <v>3.7001994472948496</v>
      </c>
      <c r="M82" s="3">
        <f t="shared" si="39"/>
        <v>3.8187208789301197</v>
      </c>
      <c r="N82" s="3">
        <f t="shared" si="39"/>
        <v>-5.4408441712133637</v>
      </c>
      <c r="O82" s="3">
        <f t="shared" ref="O82:O145" si="40">F82*C82+G82*D82+H82</f>
        <v>-1.114133160210262</v>
      </c>
      <c r="P82" s="3">
        <f t="shared" ref="P82:P145" si="41">1/(1+EXP(-O82))</f>
        <v>0.24710114297642286</v>
      </c>
      <c r="Q82" s="3">
        <f t="shared" ref="Q82:Q145" si="42">I82*C82+J82*D82+K82</f>
        <v>4.5539820204254395</v>
      </c>
      <c r="R82" s="3">
        <f t="shared" ref="R82:R145" si="43">1/(1+EXP(-Q82))</f>
        <v>0.98958441696227717</v>
      </c>
      <c r="S82" s="3">
        <f t="shared" ref="S82:S145" si="44">L82*P82+M82*R82+N82</f>
        <v>-0.74757398402834063</v>
      </c>
      <c r="T82" s="4">
        <f t="shared" ref="T82:T145" si="45">1/(1+EXP(-S82))</f>
        <v>0.32135014718466676</v>
      </c>
      <c r="U82" s="1">
        <f t="shared" ref="U82:U113" si="46">IF(T82&gt;=0.5, 1, 0)</f>
        <v>0</v>
      </c>
      <c r="V82" s="3">
        <f t="shared" ref="V82:V145" si="47">E82-T82</f>
        <v>-0.32135014718466676</v>
      </c>
      <c r="W82" s="3">
        <f t="shared" ref="W82:W113" si="48">0.5*(V82^2)</f>
        <v>5.1632958547803497E-2</v>
      </c>
      <c r="X82" s="5" t="str">
        <f t="shared" si="22"/>
        <v>PASS</v>
      </c>
      <c r="Y82" s="3">
        <f t="shared" ref="Y82:Y113" si="49">V82*T82*(1-T82)</f>
        <v>-7.0081399437774097E-2</v>
      </c>
      <c r="Z82" s="3">
        <f t="shared" ref="Z82:Z113" si="50">Y82*L82*P82*(1-P82)</f>
        <v>-4.8243553748145908E-2</v>
      </c>
      <c r="AA82" s="3">
        <f t="shared" ref="AA82:AA113" si="51">Y82*M82*R82*(1-R82)</f>
        <v>-2.7583991782571711E-3</v>
      </c>
      <c r="AB82" s="3">
        <f t="shared" ref="AB82:AB113" si="52">F82+$D$5*Z82*C82</f>
        <v>3.4173773419166587</v>
      </c>
      <c r="AC82" s="3">
        <f t="shared" ref="AC82:AC113" si="53">G82+$D$5*Z82*D82</f>
        <v>3.6917569892347406</v>
      </c>
      <c r="AD82" s="3">
        <f t="shared" ref="AD82:AD113" si="54">H82+$D$5*Z82</f>
        <v>-1.2347420445806268</v>
      </c>
      <c r="AE82" s="3">
        <f t="shared" ref="AE82:AE113" si="55">I82+$D$5*AA82*C82</f>
        <v>-3.3849102788402687</v>
      </c>
      <c r="AF82" s="3">
        <f t="shared" ref="AF82:AF113" si="56">J82+$D$5*AA82*D82</f>
        <v>-2.9584469690957866</v>
      </c>
      <c r="AG82" s="3">
        <f t="shared" ref="AG82:AG113" si="57">K82+$D$5*AA82</f>
        <v>4.5470860224797969</v>
      </c>
      <c r="AH82" s="3">
        <f t="shared" ref="AH82:AH113" si="58">L82+$D$5*Y82*P82</f>
        <v>3.6569064625386964</v>
      </c>
      <c r="AI82" s="3">
        <f t="shared" ref="AI82:AI113" si="59">M82+$D$5*Y82*R82</f>
        <v>3.6453422269237943</v>
      </c>
      <c r="AJ82" s="11">
        <f t="shared" ref="AJ82:AJ113" si="60">N82+$D$5*Y82</f>
        <v>-5.6160476698077986</v>
      </c>
    </row>
    <row r="83" spans="1:36" ht="18" customHeight="1" x14ac:dyDescent="0.25">
      <c r="A83" s="17">
        <v>17</v>
      </c>
      <c r="B83" s="2">
        <v>66</v>
      </c>
      <c r="C83" s="2">
        <v>0</v>
      </c>
      <c r="D83" s="2">
        <v>1</v>
      </c>
      <c r="E83" s="2">
        <v>1</v>
      </c>
      <c r="F83" s="3">
        <f t="shared" si="39"/>
        <v>3.4173773419166587</v>
      </c>
      <c r="G83" s="3">
        <f t="shared" si="39"/>
        <v>3.6917569892347406</v>
      </c>
      <c r="H83" s="3">
        <f t="shared" si="39"/>
        <v>-1.2347420445806268</v>
      </c>
      <c r="I83" s="3">
        <f t="shared" si="39"/>
        <v>-3.3849102788402687</v>
      </c>
      <c r="J83" s="3">
        <f t="shared" si="39"/>
        <v>-2.9584469690957866</v>
      </c>
      <c r="K83" s="3">
        <f t="shared" si="39"/>
        <v>4.5470860224797969</v>
      </c>
      <c r="L83" s="3">
        <f t="shared" si="39"/>
        <v>3.6569064625386964</v>
      </c>
      <c r="M83" s="3">
        <f t="shared" si="39"/>
        <v>3.6453422269237943</v>
      </c>
      <c r="N83" s="3">
        <f t="shared" si="39"/>
        <v>-5.6160476698077986</v>
      </c>
      <c r="O83" s="3">
        <f t="shared" si="40"/>
        <v>2.4570149446541141</v>
      </c>
      <c r="P83" s="3">
        <f t="shared" si="41"/>
        <v>0.92107292908381422</v>
      </c>
      <c r="Q83" s="3">
        <f t="shared" si="42"/>
        <v>1.5886390533840102</v>
      </c>
      <c r="R83" s="3">
        <f t="shared" si="43"/>
        <v>0.83042454125025222</v>
      </c>
      <c r="S83" s="3">
        <f t="shared" si="44"/>
        <v>0.77941152352161325</v>
      </c>
      <c r="T83" s="4">
        <f t="shared" si="45"/>
        <v>0.68555326992744414</v>
      </c>
      <c r="U83" s="1">
        <f t="shared" si="46"/>
        <v>1</v>
      </c>
      <c r="V83" s="3">
        <f t="shared" si="47"/>
        <v>0.31444673007255586</v>
      </c>
      <c r="W83" s="3">
        <f t="shared" si="48"/>
        <v>4.9438373026661403E-2</v>
      </c>
      <c r="X83" s="5" t="str">
        <f t="shared" ref="X83:X146" si="61">IF(U83=E83, "PASS", "FAIL")</f>
        <v>PASS</v>
      </c>
      <c r="Y83" s="3">
        <f t="shared" si="49"/>
        <v>6.7785276576640949E-2</v>
      </c>
      <c r="Z83" s="3">
        <f t="shared" si="50"/>
        <v>1.8020599241759229E-2</v>
      </c>
      <c r="AA83" s="3">
        <f t="shared" si="51"/>
        <v>3.4796603514396382E-2</v>
      </c>
      <c r="AB83" s="3">
        <f t="shared" si="52"/>
        <v>3.4173773419166587</v>
      </c>
      <c r="AC83" s="3">
        <f t="shared" si="53"/>
        <v>3.7368084873391387</v>
      </c>
      <c r="AD83" s="3">
        <f t="shared" si="54"/>
        <v>-1.1896905464762286</v>
      </c>
      <c r="AE83" s="3">
        <f t="shared" si="55"/>
        <v>-3.3849102788402687</v>
      </c>
      <c r="AF83" s="3">
        <f t="shared" si="56"/>
        <v>-2.8714554603097957</v>
      </c>
      <c r="AG83" s="3">
        <f t="shared" si="57"/>
        <v>4.6340775312657883</v>
      </c>
      <c r="AH83" s="3">
        <f t="shared" si="58"/>
        <v>3.8129944206517044</v>
      </c>
      <c r="AI83" s="3">
        <f t="shared" si="59"/>
        <v>3.7860686199354907</v>
      </c>
      <c r="AJ83" s="11">
        <f t="shared" si="60"/>
        <v>-5.4465844783661961</v>
      </c>
    </row>
    <row r="84" spans="1:36" ht="18" customHeight="1" x14ac:dyDescent="0.25">
      <c r="A84" s="17">
        <v>17</v>
      </c>
      <c r="B84" s="2">
        <v>67</v>
      </c>
      <c r="C84" s="2">
        <v>1</v>
      </c>
      <c r="D84" s="2">
        <v>0</v>
      </c>
      <c r="E84" s="2">
        <v>1</v>
      </c>
      <c r="F84" s="3">
        <f t="shared" si="39"/>
        <v>3.4173773419166587</v>
      </c>
      <c r="G84" s="3">
        <f t="shared" si="39"/>
        <v>3.7368084873391387</v>
      </c>
      <c r="H84" s="3">
        <f t="shared" si="39"/>
        <v>-1.1896905464762286</v>
      </c>
      <c r="I84" s="3">
        <f t="shared" si="39"/>
        <v>-3.3849102788402687</v>
      </c>
      <c r="J84" s="3">
        <f t="shared" si="39"/>
        <v>-2.8714554603097957</v>
      </c>
      <c r="K84" s="3">
        <f t="shared" si="39"/>
        <v>4.6340775312657883</v>
      </c>
      <c r="L84" s="3">
        <f t="shared" si="39"/>
        <v>3.8129944206517044</v>
      </c>
      <c r="M84" s="3">
        <f t="shared" si="39"/>
        <v>3.7860686199354907</v>
      </c>
      <c r="N84" s="3">
        <f t="shared" si="39"/>
        <v>-5.4465844783661961</v>
      </c>
      <c r="O84" s="3">
        <f t="shared" si="40"/>
        <v>2.2276867954404302</v>
      </c>
      <c r="P84" s="3">
        <f t="shared" si="41"/>
        <v>0.90270838878396864</v>
      </c>
      <c r="Q84" s="3">
        <f t="shared" si="42"/>
        <v>1.2491672524255195</v>
      </c>
      <c r="R84" s="3">
        <f t="shared" si="43"/>
        <v>0.77715567529600793</v>
      </c>
      <c r="S84" s="3">
        <f t="shared" si="44"/>
        <v>0.93780228658555664</v>
      </c>
      <c r="T84" s="4">
        <f t="shared" si="45"/>
        <v>0.71865551586424625</v>
      </c>
      <c r="U84" s="1">
        <f t="shared" si="46"/>
        <v>1</v>
      </c>
      <c r="V84" s="3">
        <f t="shared" si="47"/>
        <v>0.28134448413575375</v>
      </c>
      <c r="W84" s="3">
        <f t="shared" si="48"/>
        <v>3.9577359376806696E-2</v>
      </c>
      <c r="X84" s="5" t="str">
        <f t="shared" si="61"/>
        <v>PASS</v>
      </c>
      <c r="Y84" s="3">
        <f t="shared" si="49"/>
        <v>5.6884975238967364E-2</v>
      </c>
      <c r="Z84" s="3">
        <f t="shared" si="50"/>
        <v>1.9049633174228399E-2</v>
      </c>
      <c r="AA84" s="3">
        <f t="shared" si="51"/>
        <v>3.7298868341018115E-2</v>
      </c>
      <c r="AB84" s="3">
        <f t="shared" si="52"/>
        <v>3.4650014248522298</v>
      </c>
      <c r="AC84" s="3">
        <f t="shared" si="53"/>
        <v>3.7368084873391387</v>
      </c>
      <c r="AD84" s="3">
        <f t="shared" si="54"/>
        <v>-1.1420664635406577</v>
      </c>
      <c r="AE84" s="3">
        <f t="shared" si="55"/>
        <v>-3.2916631079877234</v>
      </c>
      <c r="AF84" s="3">
        <f t="shared" si="56"/>
        <v>-2.8714554603097957</v>
      </c>
      <c r="AG84" s="3">
        <f t="shared" si="57"/>
        <v>4.7273247021183336</v>
      </c>
      <c r="AH84" s="3">
        <f t="shared" si="58"/>
        <v>3.9413707815116648</v>
      </c>
      <c r="AI84" s="3">
        <f t="shared" si="59"/>
        <v>3.8965898233005816</v>
      </c>
      <c r="AJ84" s="11">
        <f t="shared" si="60"/>
        <v>-5.3043720402687775</v>
      </c>
    </row>
    <row r="85" spans="1:36" ht="18" customHeight="1" x14ac:dyDescent="0.25">
      <c r="A85" s="17">
        <v>17</v>
      </c>
      <c r="B85" s="2">
        <v>68</v>
      </c>
      <c r="C85" s="2">
        <v>1</v>
      </c>
      <c r="D85" s="2">
        <v>1</v>
      </c>
      <c r="E85" s="2">
        <v>0</v>
      </c>
      <c r="F85" s="3">
        <f t="shared" si="39"/>
        <v>3.4650014248522298</v>
      </c>
      <c r="G85" s="3">
        <f t="shared" si="39"/>
        <v>3.7368084873391387</v>
      </c>
      <c r="H85" s="3">
        <f t="shared" si="39"/>
        <v>-1.1420664635406577</v>
      </c>
      <c r="I85" s="3">
        <f t="shared" si="39"/>
        <v>-3.2916631079877234</v>
      </c>
      <c r="J85" s="3">
        <f t="shared" si="39"/>
        <v>-2.8714554603097957</v>
      </c>
      <c r="K85" s="3">
        <f t="shared" si="39"/>
        <v>4.7273247021183336</v>
      </c>
      <c r="L85" s="3">
        <f t="shared" si="39"/>
        <v>3.9413707815116648</v>
      </c>
      <c r="M85" s="3">
        <f t="shared" si="39"/>
        <v>3.8965898233005816</v>
      </c>
      <c r="N85" s="3">
        <f t="shared" si="39"/>
        <v>-5.3043720402687775</v>
      </c>
      <c r="O85" s="3">
        <f t="shared" si="40"/>
        <v>6.0597434486507105</v>
      </c>
      <c r="P85" s="3">
        <f t="shared" si="41"/>
        <v>0.99767043966499491</v>
      </c>
      <c r="Q85" s="3">
        <f t="shared" si="42"/>
        <v>-1.4357938661791856</v>
      </c>
      <c r="R85" s="3">
        <f t="shared" si="43"/>
        <v>0.19219753766600969</v>
      </c>
      <c r="S85" s="3">
        <f t="shared" si="44"/>
        <v>-0.6232679504624663</v>
      </c>
      <c r="T85" s="4">
        <f t="shared" si="45"/>
        <v>0.34903857245927372</v>
      </c>
      <c r="U85" s="1">
        <f t="shared" si="46"/>
        <v>0</v>
      </c>
      <c r="V85" s="3">
        <f t="shared" si="47"/>
        <v>-0.34903857245927372</v>
      </c>
      <c r="W85" s="3">
        <f t="shared" si="48"/>
        <v>6.0913962532203839E-2</v>
      </c>
      <c r="X85" s="5" t="str">
        <f t="shared" si="61"/>
        <v>PASS</v>
      </c>
      <c r="Y85" s="3">
        <f t="shared" si="49"/>
        <v>-7.9305280014251453E-2</v>
      </c>
      <c r="Z85" s="3">
        <f t="shared" si="50"/>
        <v>-7.2645792048581096E-4</v>
      </c>
      <c r="AA85" s="3">
        <f t="shared" si="51"/>
        <v>-4.7977740033554886E-2</v>
      </c>
      <c r="AB85" s="3">
        <f t="shared" si="52"/>
        <v>3.4631852800510154</v>
      </c>
      <c r="AC85" s="3">
        <f t="shared" si="53"/>
        <v>3.7349923425379243</v>
      </c>
      <c r="AD85" s="3">
        <f t="shared" si="54"/>
        <v>-1.1438826083418723</v>
      </c>
      <c r="AE85" s="3">
        <f t="shared" si="55"/>
        <v>-3.4116074580716105</v>
      </c>
      <c r="AF85" s="3">
        <f t="shared" si="56"/>
        <v>-2.9913998103936827</v>
      </c>
      <c r="AG85" s="3">
        <f t="shared" si="57"/>
        <v>4.6073803520344461</v>
      </c>
      <c r="AH85" s="3">
        <f t="shared" si="58"/>
        <v>3.7435694475627304</v>
      </c>
      <c r="AI85" s="3">
        <f t="shared" si="59"/>
        <v>3.8584841244439501</v>
      </c>
      <c r="AJ85" s="11">
        <f t="shared" si="60"/>
        <v>-5.5026352403044063</v>
      </c>
    </row>
    <row r="86" spans="1:36" ht="18" customHeight="1" x14ac:dyDescent="0.25">
      <c r="A86" s="17">
        <v>18</v>
      </c>
      <c r="B86" s="2">
        <v>69</v>
      </c>
      <c r="C86" s="2">
        <v>0</v>
      </c>
      <c r="D86" s="2">
        <v>0</v>
      </c>
      <c r="E86" s="2">
        <v>0</v>
      </c>
      <c r="F86" s="3">
        <f t="shared" si="39"/>
        <v>3.4631852800510154</v>
      </c>
      <c r="G86" s="3">
        <f t="shared" si="39"/>
        <v>3.7349923425379243</v>
      </c>
      <c r="H86" s="3">
        <f t="shared" si="39"/>
        <v>-1.1438826083418723</v>
      </c>
      <c r="I86" s="3">
        <f t="shared" si="39"/>
        <v>-3.4116074580716105</v>
      </c>
      <c r="J86" s="3">
        <f t="shared" si="39"/>
        <v>-2.9913998103936827</v>
      </c>
      <c r="K86" s="3">
        <f t="shared" si="39"/>
        <v>4.6073803520344461</v>
      </c>
      <c r="L86" s="3">
        <f t="shared" si="39"/>
        <v>3.7435694475627304</v>
      </c>
      <c r="M86" s="3">
        <f t="shared" si="39"/>
        <v>3.8584841244439501</v>
      </c>
      <c r="N86" s="3">
        <f t="shared" si="39"/>
        <v>-5.5026352403044063</v>
      </c>
      <c r="O86" s="3">
        <f t="shared" si="40"/>
        <v>-1.1438826083418723</v>
      </c>
      <c r="P86" s="3">
        <f t="shared" si="41"/>
        <v>0.24160822279832914</v>
      </c>
      <c r="Q86" s="3">
        <f t="shared" si="42"/>
        <v>4.6073803520344461</v>
      </c>
      <c r="R86" s="3">
        <f t="shared" si="43"/>
        <v>0.99012065261922122</v>
      </c>
      <c r="S86" s="3">
        <f t="shared" si="44"/>
        <v>-0.77779325974130398</v>
      </c>
      <c r="T86" s="4">
        <f t="shared" si="45"/>
        <v>0.31479568387546503</v>
      </c>
      <c r="U86" s="1">
        <f t="shared" si="46"/>
        <v>0</v>
      </c>
      <c r="V86" s="3">
        <f t="shared" si="47"/>
        <v>-0.31479568387546503</v>
      </c>
      <c r="W86" s="3">
        <f t="shared" si="48"/>
        <v>4.9548161293310855E-2</v>
      </c>
      <c r="X86" s="5" t="str">
        <f t="shared" si="61"/>
        <v>PASS</v>
      </c>
      <c r="Y86" s="3">
        <f t="shared" si="49"/>
        <v>-6.7901227948422432E-2</v>
      </c>
      <c r="Z86" s="3">
        <f t="shared" si="50"/>
        <v>-4.6576714338966908E-2</v>
      </c>
      <c r="AA86" s="3">
        <f t="shared" si="51"/>
        <v>-2.5627764347025193E-3</v>
      </c>
      <c r="AB86" s="3">
        <f t="shared" si="52"/>
        <v>3.4631852800510154</v>
      </c>
      <c r="AC86" s="3">
        <f t="shared" si="53"/>
        <v>3.7349923425379243</v>
      </c>
      <c r="AD86" s="3">
        <f t="shared" si="54"/>
        <v>-1.2603243941892894</v>
      </c>
      <c r="AE86" s="3">
        <f t="shared" si="55"/>
        <v>-3.4116074580716105</v>
      </c>
      <c r="AF86" s="3">
        <f t="shared" si="56"/>
        <v>-2.9913998103936827</v>
      </c>
      <c r="AG86" s="3">
        <f t="shared" si="57"/>
        <v>4.6009734109476899</v>
      </c>
      <c r="AH86" s="3">
        <f t="shared" si="58"/>
        <v>3.702555710036624</v>
      </c>
      <c r="AI86" s="3">
        <f t="shared" si="59"/>
        <v>3.6904081041191037</v>
      </c>
      <c r="AJ86" s="11">
        <f t="shared" si="60"/>
        <v>-5.672388310175462</v>
      </c>
    </row>
    <row r="87" spans="1:36" ht="18" customHeight="1" x14ac:dyDescent="0.25">
      <c r="A87" s="17">
        <v>18</v>
      </c>
      <c r="B87" s="2">
        <v>70</v>
      </c>
      <c r="C87" s="2">
        <v>0</v>
      </c>
      <c r="D87" s="2">
        <v>1</v>
      </c>
      <c r="E87" s="2">
        <v>1</v>
      </c>
      <c r="F87" s="3">
        <f t="shared" si="39"/>
        <v>3.4631852800510154</v>
      </c>
      <c r="G87" s="3">
        <f t="shared" si="39"/>
        <v>3.7349923425379243</v>
      </c>
      <c r="H87" s="3">
        <f t="shared" si="39"/>
        <v>-1.2603243941892894</v>
      </c>
      <c r="I87" s="3">
        <f t="shared" si="39"/>
        <v>-3.4116074580716105</v>
      </c>
      <c r="J87" s="3">
        <f t="shared" si="39"/>
        <v>-2.9913998103936827</v>
      </c>
      <c r="K87" s="3">
        <f t="shared" si="39"/>
        <v>4.6009734109476899</v>
      </c>
      <c r="L87" s="3">
        <f t="shared" si="39"/>
        <v>3.702555710036624</v>
      </c>
      <c r="M87" s="3">
        <f t="shared" si="39"/>
        <v>3.6904081041191037</v>
      </c>
      <c r="N87" s="3">
        <f t="shared" si="39"/>
        <v>-5.672388310175462</v>
      </c>
      <c r="O87" s="3">
        <f t="shared" si="40"/>
        <v>2.4746679483486349</v>
      </c>
      <c r="P87" s="3">
        <f t="shared" si="41"/>
        <v>0.92234675817145451</v>
      </c>
      <c r="Q87" s="3">
        <f t="shared" si="42"/>
        <v>1.6095736005540071</v>
      </c>
      <c r="R87" s="3">
        <f t="shared" si="43"/>
        <v>0.83335217805317885</v>
      </c>
      <c r="S87" s="3">
        <f t="shared" si="44"/>
        <v>0.81806157739878316</v>
      </c>
      <c r="T87" s="4">
        <f t="shared" si="45"/>
        <v>0.69382471193819717</v>
      </c>
      <c r="U87" s="1">
        <f t="shared" si="46"/>
        <v>1</v>
      </c>
      <c r="V87" s="3">
        <f t="shared" si="47"/>
        <v>0.30617528806180283</v>
      </c>
      <c r="W87" s="3">
        <f t="shared" si="48"/>
        <v>4.687165350986397E-2</v>
      </c>
      <c r="X87" s="5" t="str">
        <f t="shared" si="61"/>
        <v>PASS</v>
      </c>
      <c r="Y87" s="3">
        <f t="shared" si="49"/>
        <v>6.5041422989096723E-2</v>
      </c>
      <c r="Z87" s="3">
        <f t="shared" si="50"/>
        <v>1.7248266464836747E-2</v>
      </c>
      <c r="AA87" s="3">
        <f t="shared" si="51"/>
        <v>3.3334400293408471E-2</v>
      </c>
      <c r="AB87" s="3">
        <f t="shared" si="52"/>
        <v>3.4631852800510154</v>
      </c>
      <c r="AC87" s="3">
        <f t="shared" si="53"/>
        <v>3.7781130087000161</v>
      </c>
      <c r="AD87" s="3">
        <f t="shared" si="54"/>
        <v>-1.2172037280271977</v>
      </c>
      <c r="AE87" s="3">
        <f t="shared" si="55"/>
        <v>-3.4116074580716105</v>
      </c>
      <c r="AF87" s="3">
        <f t="shared" si="56"/>
        <v>-2.9080638096601614</v>
      </c>
      <c r="AG87" s="3">
        <f t="shared" si="57"/>
        <v>4.6843094116812107</v>
      </c>
      <c r="AH87" s="3">
        <f t="shared" si="58"/>
        <v>3.8525325741387531</v>
      </c>
      <c r="AI87" s="3">
        <f t="shared" si="59"/>
        <v>3.8259141328982085</v>
      </c>
      <c r="AJ87" s="11">
        <f t="shared" si="60"/>
        <v>-5.5097847527027204</v>
      </c>
    </row>
    <row r="88" spans="1:36" ht="18" customHeight="1" x14ac:dyDescent="0.25">
      <c r="A88" s="17">
        <v>18</v>
      </c>
      <c r="B88" s="2">
        <v>71</v>
      </c>
      <c r="C88" s="2">
        <v>1</v>
      </c>
      <c r="D88" s="2">
        <v>0</v>
      </c>
      <c r="E88" s="2">
        <v>1</v>
      </c>
      <c r="F88" s="3">
        <f t="shared" si="39"/>
        <v>3.4631852800510154</v>
      </c>
      <c r="G88" s="3">
        <f t="shared" si="39"/>
        <v>3.7781130087000161</v>
      </c>
      <c r="H88" s="3">
        <f t="shared" si="39"/>
        <v>-1.2172037280271977</v>
      </c>
      <c r="I88" s="3">
        <f t="shared" si="39"/>
        <v>-3.4116074580716105</v>
      </c>
      <c r="J88" s="3">
        <f t="shared" si="39"/>
        <v>-2.9080638096601614</v>
      </c>
      <c r="K88" s="3">
        <f t="shared" si="39"/>
        <v>4.6843094116812107</v>
      </c>
      <c r="L88" s="3">
        <f t="shared" si="39"/>
        <v>3.8525325741387531</v>
      </c>
      <c r="M88" s="3">
        <f t="shared" si="39"/>
        <v>3.8259141328982085</v>
      </c>
      <c r="N88" s="3">
        <f t="shared" si="39"/>
        <v>-5.5097847527027204</v>
      </c>
      <c r="O88" s="3">
        <f t="shared" si="40"/>
        <v>2.2459815520238178</v>
      </c>
      <c r="P88" s="3">
        <f t="shared" si="41"/>
        <v>0.9043033479562097</v>
      </c>
      <c r="Q88" s="3">
        <f t="shared" si="42"/>
        <v>1.2727019536096003</v>
      </c>
      <c r="R88" s="3">
        <f t="shared" si="43"/>
        <v>0.78120492694463273</v>
      </c>
      <c r="S88" s="3">
        <f t="shared" si="44"/>
        <v>0.9628963228884917</v>
      </c>
      <c r="T88" s="4">
        <f t="shared" si="45"/>
        <v>0.7237013223115063</v>
      </c>
      <c r="U88" s="1">
        <f t="shared" si="46"/>
        <v>1</v>
      </c>
      <c r="V88" s="3">
        <f t="shared" si="47"/>
        <v>0.2762986776884937</v>
      </c>
      <c r="W88" s="3">
        <f t="shared" si="48"/>
        <v>3.8170479646205062E-2</v>
      </c>
      <c r="X88" s="5" t="str">
        <f t="shared" si="61"/>
        <v>PASS</v>
      </c>
      <c r="Y88" s="3">
        <f t="shared" si="49"/>
        <v>5.5248053186446079E-2</v>
      </c>
      <c r="Z88" s="3">
        <f t="shared" si="50"/>
        <v>1.8419344960035174E-2</v>
      </c>
      <c r="AA88" s="3">
        <f t="shared" si="51"/>
        <v>3.6128897548463969E-2</v>
      </c>
      <c r="AB88" s="3">
        <f t="shared" si="52"/>
        <v>3.5092336424511035</v>
      </c>
      <c r="AC88" s="3">
        <f t="shared" si="53"/>
        <v>3.7781130087000161</v>
      </c>
      <c r="AD88" s="3">
        <f t="shared" si="54"/>
        <v>-1.1711553656271096</v>
      </c>
      <c r="AE88" s="3">
        <f t="shared" si="55"/>
        <v>-3.3212852142004508</v>
      </c>
      <c r="AF88" s="3">
        <f t="shared" si="56"/>
        <v>-2.9080638096601614</v>
      </c>
      <c r="AG88" s="3">
        <f t="shared" si="57"/>
        <v>4.7746316555523709</v>
      </c>
      <c r="AH88" s="3">
        <f t="shared" si="58"/>
        <v>3.9774350728001679</v>
      </c>
      <c r="AI88" s="3">
        <f t="shared" si="59"/>
        <v>3.9338142612815856</v>
      </c>
      <c r="AJ88" s="11">
        <f t="shared" si="60"/>
        <v>-5.3716646197366051</v>
      </c>
    </row>
    <row r="89" spans="1:36" ht="18" customHeight="1" x14ac:dyDescent="0.25">
      <c r="A89" s="17">
        <v>18</v>
      </c>
      <c r="B89" s="2">
        <v>72</v>
      </c>
      <c r="C89" s="2">
        <v>1</v>
      </c>
      <c r="D89" s="2">
        <v>1</v>
      </c>
      <c r="E89" s="2">
        <v>0</v>
      </c>
      <c r="F89" s="3">
        <f t="shared" si="39"/>
        <v>3.5092336424511035</v>
      </c>
      <c r="G89" s="3">
        <f t="shared" si="39"/>
        <v>3.7781130087000161</v>
      </c>
      <c r="H89" s="3">
        <f t="shared" si="39"/>
        <v>-1.1711553656271096</v>
      </c>
      <c r="I89" s="3">
        <f t="shared" si="39"/>
        <v>-3.3212852142004508</v>
      </c>
      <c r="J89" s="3">
        <f t="shared" si="39"/>
        <v>-2.9080638096601614</v>
      </c>
      <c r="K89" s="3">
        <f t="shared" si="39"/>
        <v>4.7746316555523709</v>
      </c>
      <c r="L89" s="3">
        <f t="shared" si="39"/>
        <v>3.9774350728001679</v>
      </c>
      <c r="M89" s="3">
        <f t="shared" si="39"/>
        <v>3.9338142612815856</v>
      </c>
      <c r="N89" s="3">
        <f t="shared" si="39"/>
        <v>-5.3716646197366051</v>
      </c>
      <c r="O89" s="3">
        <f t="shared" si="40"/>
        <v>6.1161912855240104</v>
      </c>
      <c r="P89" s="3">
        <f t="shared" si="41"/>
        <v>0.99779801422169478</v>
      </c>
      <c r="Q89" s="3">
        <f t="shared" si="42"/>
        <v>-1.4547173683082413</v>
      </c>
      <c r="R89" s="3">
        <f t="shared" si="43"/>
        <v>0.1892766199411513</v>
      </c>
      <c r="S89" s="3">
        <f t="shared" si="44"/>
        <v>-0.65840873554919987</v>
      </c>
      <c r="T89" s="4">
        <f t="shared" si="45"/>
        <v>0.34109715757032877</v>
      </c>
      <c r="U89" s="1">
        <f t="shared" si="46"/>
        <v>0</v>
      </c>
      <c r="V89" s="3">
        <f t="shared" si="47"/>
        <v>-0.34109715757032877</v>
      </c>
      <c r="W89" s="3">
        <f t="shared" si="48"/>
        <v>5.8173635451278849E-2</v>
      </c>
      <c r="X89" s="5" t="str">
        <f t="shared" si="61"/>
        <v>PASS</v>
      </c>
      <c r="Y89" s="3">
        <f t="shared" si="49"/>
        <v>-7.6661547506630248E-2</v>
      </c>
      <c r="Z89" s="3">
        <f t="shared" si="50"/>
        <v>-6.699429569499625E-4</v>
      </c>
      <c r="AA89" s="3">
        <f t="shared" si="51"/>
        <v>-4.6276563595628248E-2</v>
      </c>
      <c r="AB89" s="3">
        <f t="shared" si="52"/>
        <v>3.5075587850587286</v>
      </c>
      <c r="AC89" s="3">
        <f t="shared" si="53"/>
        <v>3.7764381513076413</v>
      </c>
      <c r="AD89" s="3">
        <f t="shared" si="54"/>
        <v>-1.1728302230194845</v>
      </c>
      <c r="AE89" s="3">
        <f t="shared" si="55"/>
        <v>-3.4369766231895214</v>
      </c>
      <c r="AF89" s="3">
        <f t="shared" si="56"/>
        <v>-3.023755218649232</v>
      </c>
      <c r="AG89" s="3">
        <f t="shared" si="57"/>
        <v>4.6589402465632999</v>
      </c>
      <c r="AH89" s="3">
        <f t="shared" si="58"/>
        <v>3.7862032231269733</v>
      </c>
      <c r="AI89" s="3">
        <f t="shared" si="59"/>
        <v>3.897538664802803</v>
      </c>
      <c r="AJ89" s="11">
        <f t="shared" si="60"/>
        <v>-5.5633184885031808</v>
      </c>
    </row>
    <row r="90" spans="1:36" ht="18" customHeight="1" x14ac:dyDescent="0.25">
      <c r="A90" s="17">
        <v>19</v>
      </c>
      <c r="B90" s="2">
        <v>73</v>
      </c>
      <c r="C90" s="2">
        <v>0</v>
      </c>
      <c r="D90" s="2">
        <v>0</v>
      </c>
      <c r="E90" s="2">
        <v>0</v>
      </c>
      <c r="F90" s="3">
        <f t="shared" si="39"/>
        <v>3.5075587850587286</v>
      </c>
      <c r="G90" s="3">
        <f t="shared" si="39"/>
        <v>3.7764381513076413</v>
      </c>
      <c r="H90" s="3">
        <f t="shared" si="39"/>
        <v>-1.1728302230194845</v>
      </c>
      <c r="I90" s="3">
        <f t="shared" si="39"/>
        <v>-3.4369766231895214</v>
      </c>
      <c r="J90" s="3">
        <f t="shared" si="39"/>
        <v>-3.023755218649232</v>
      </c>
      <c r="K90" s="3">
        <f t="shared" si="39"/>
        <v>4.6589402465632999</v>
      </c>
      <c r="L90" s="3">
        <f t="shared" si="39"/>
        <v>3.7862032231269733</v>
      </c>
      <c r="M90" s="3">
        <f t="shared" si="39"/>
        <v>3.897538664802803</v>
      </c>
      <c r="N90" s="3">
        <f t="shared" si="39"/>
        <v>-5.5633184885031808</v>
      </c>
      <c r="O90" s="3">
        <f t="shared" si="40"/>
        <v>-1.1728302230194845</v>
      </c>
      <c r="P90" s="3">
        <f t="shared" si="41"/>
        <v>0.23634378921673871</v>
      </c>
      <c r="Q90" s="3">
        <f t="shared" si="42"/>
        <v>4.6589402465632999</v>
      </c>
      <c r="R90" s="3">
        <f t="shared" si="43"/>
        <v>0.99061246117469604</v>
      </c>
      <c r="S90" s="3">
        <f t="shared" si="44"/>
        <v>-0.80752250274087967</v>
      </c>
      <c r="T90" s="4">
        <f t="shared" si="45"/>
        <v>0.30841868646906134</v>
      </c>
      <c r="U90" s="1">
        <f t="shared" si="46"/>
        <v>0</v>
      </c>
      <c r="V90" s="3">
        <f t="shared" si="47"/>
        <v>-0.30841868646906134</v>
      </c>
      <c r="W90" s="3">
        <f t="shared" si="48"/>
        <v>4.7561043081650579E-2</v>
      </c>
      <c r="X90" s="5" t="str">
        <f t="shared" si="61"/>
        <v>PASS</v>
      </c>
      <c r="Y90" s="3">
        <f t="shared" si="49"/>
        <v>-6.5784657294618937E-2</v>
      </c>
      <c r="Z90" s="3">
        <f t="shared" si="50"/>
        <v>-4.4954235852289144E-2</v>
      </c>
      <c r="AA90" s="3">
        <f t="shared" si="51"/>
        <v>-2.3843531606897971E-3</v>
      </c>
      <c r="AB90" s="3">
        <f t="shared" si="52"/>
        <v>3.5075587850587286</v>
      </c>
      <c r="AC90" s="3">
        <f t="shared" si="53"/>
        <v>3.7764381513076413</v>
      </c>
      <c r="AD90" s="3">
        <f t="shared" si="54"/>
        <v>-1.2852158126502073</v>
      </c>
      <c r="AE90" s="3">
        <f t="shared" si="55"/>
        <v>-3.4369766231895214</v>
      </c>
      <c r="AF90" s="3">
        <f t="shared" si="56"/>
        <v>-3.023755218649232</v>
      </c>
      <c r="AG90" s="3">
        <f t="shared" si="57"/>
        <v>4.6529793636615757</v>
      </c>
      <c r="AH90" s="3">
        <f t="shared" si="58"/>
        <v>3.7473337351836364</v>
      </c>
      <c r="AI90" s="3">
        <f t="shared" si="59"/>
        <v>3.7346209116274118</v>
      </c>
      <c r="AJ90" s="11">
        <f t="shared" si="60"/>
        <v>-5.7277801317397277</v>
      </c>
    </row>
    <row r="91" spans="1:36" ht="18" customHeight="1" x14ac:dyDescent="0.25">
      <c r="A91" s="17">
        <v>19</v>
      </c>
      <c r="B91" s="2">
        <v>74</v>
      </c>
      <c r="C91" s="2">
        <v>0</v>
      </c>
      <c r="D91" s="2">
        <v>1</v>
      </c>
      <c r="E91" s="2">
        <v>1</v>
      </c>
      <c r="F91" s="3">
        <f t="shared" si="39"/>
        <v>3.5075587850587286</v>
      </c>
      <c r="G91" s="3">
        <f t="shared" si="39"/>
        <v>3.7764381513076413</v>
      </c>
      <c r="H91" s="3">
        <f t="shared" si="39"/>
        <v>-1.2852158126502073</v>
      </c>
      <c r="I91" s="3">
        <f t="shared" si="39"/>
        <v>-3.4369766231895214</v>
      </c>
      <c r="J91" s="3">
        <f t="shared" si="39"/>
        <v>-3.023755218649232</v>
      </c>
      <c r="K91" s="3">
        <f t="shared" si="39"/>
        <v>4.6529793636615757</v>
      </c>
      <c r="L91" s="3">
        <f t="shared" si="39"/>
        <v>3.7473337351836364</v>
      </c>
      <c r="M91" s="3">
        <f t="shared" si="39"/>
        <v>3.7346209116274118</v>
      </c>
      <c r="N91" s="3">
        <f t="shared" si="39"/>
        <v>-5.7277801317397277</v>
      </c>
      <c r="O91" s="3">
        <f t="shared" si="40"/>
        <v>2.4912223386574341</v>
      </c>
      <c r="P91" s="3">
        <f t="shared" si="41"/>
        <v>0.92352417779637641</v>
      </c>
      <c r="Q91" s="3">
        <f t="shared" si="42"/>
        <v>1.6292241450123437</v>
      </c>
      <c r="R91" s="3">
        <f t="shared" si="43"/>
        <v>0.83606332669921635</v>
      </c>
      <c r="S91" s="3">
        <f t="shared" si="44"/>
        <v>0.85535275831003865</v>
      </c>
      <c r="T91" s="4">
        <f t="shared" si="45"/>
        <v>0.7016887988124294</v>
      </c>
      <c r="U91" s="1">
        <f t="shared" si="46"/>
        <v>1</v>
      </c>
      <c r="V91" s="3">
        <f t="shared" si="47"/>
        <v>0.2983112011875706</v>
      </c>
      <c r="W91" s="3">
        <f t="shared" si="48"/>
        <v>4.4494786376985611E-2</v>
      </c>
      <c r="X91" s="5" t="str">
        <f t="shared" si="61"/>
        <v>PASS</v>
      </c>
      <c r="Y91" s="3">
        <f t="shared" si="49"/>
        <v>6.2442986412565363E-2</v>
      </c>
      <c r="Z91" s="3">
        <f t="shared" si="50"/>
        <v>1.6526407719414379E-2</v>
      </c>
      <c r="AA91" s="3">
        <f t="shared" si="51"/>
        <v>3.1962848915876217E-2</v>
      </c>
      <c r="AB91" s="3">
        <f t="shared" si="52"/>
        <v>3.5075587850587286</v>
      </c>
      <c r="AC91" s="3">
        <f t="shared" si="53"/>
        <v>3.8177541706061771</v>
      </c>
      <c r="AD91" s="3">
        <f t="shared" si="54"/>
        <v>-1.2438997933516713</v>
      </c>
      <c r="AE91" s="3">
        <f t="shared" si="55"/>
        <v>-3.4369766231895214</v>
      </c>
      <c r="AF91" s="3">
        <f t="shared" si="56"/>
        <v>-2.9438480963595417</v>
      </c>
      <c r="AG91" s="3">
        <f t="shared" si="57"/>
        <v>4.7328864859512665</v>
      </c>
      <c r="AH91" s="3">
        <f t="shared" si="58"/>
        <v>3.8915027543981733</v>
      </c>
      <c r="AI91" s="3">
        <f t="shared" si="59"/>
        <v>3.8651366390002204</v>
      </c>
      <c r="AJ91" s="11">
        <f t="shared" si="60"/>
        <v>-5.5716726657083147</v>
      </c>
    </row>
    <row r="92" spans="1:36" ht="18" customHeight="1" x14ac:dyDescent="0.25">
      <c r="A92" s="17">
        <v>19</v>
      </c>
      <c r="B92" s="2">
        <v>75</v>
      </c>
      <c r="C92" s="2">
        <v>1</v>
      </c>
      <c r="D92" s="2">
        <v>0</v>
      </c>
      <c r="E92" s="2">
        <v>1</v>
      </c>
      <c r="F92" s="3">
        <f t="shared" si="39"/>
        <v>3.5075587850587286</v>
      </c>
      <c r="G92" s="3">
        <f t="shared" si="39"/>
        <v>3.8177541706061771</v>
      </c>
      <c r="H92" s="3">
        <f t="shared" si="39"/>
        <v>-1.2438997933516713</v>
      </c>
      <c r="I92" s="3">
        <f t="shared" si="39"/>
        <v>-3.4369766231895214</v>
      </c>
      <c r="J92" s="3">
        <f t="shared" si="39"/>
        <v>-2.9438480963595417</v>
      </c>
      <c r="K92" s="3">
        <f t="shared" si="39"/>
        <v>4.7328864859512665</v>
      </c>
      <c r="L92" s="3">
        <f t="shared" si="39"/>
        <v>3.8915027543981733</v>
      </c>
      <c r="M92" s="3">
        <f t="shared" si="39"/>
        <v>3.8651366390002204</v>
      </c>
      <c r="N92" s="3">
        <f t="shared" si="39"/>
        <v>-5.5716726657083147</v>
      </c>
      <c r="O92" s="3">
        <f t="shared" si="40"/>
        <v>2.2636589917070573</v>
      </c>
      <c r="P92" s="3">
        <f t="shared" si="41"/>
        <v>0.90582223729526168</v>
      </c>
      <c r="Q92" s="3">
        <f t="shared" si="42"/>
        <v>1.2959098627617451</v>
      </c>
      <c r="R92" s="3">
        <f t="shared" si="43"/>
        <v>0.78514581489440594</v>
      </c>
      <c r="S92" s="3">
        <f t="shared" si="44"/>
        <v>0.98803292182736513</v>
      </c>
      <c r="T92" s="4">
        <f t="shared" si="45"/>
        <v>0.72869921253850667</v>
      </c>
      <c r="U92" s="1">
        <f t="shared" si="46"/>
        <v>1</v>
      </c>
      <c r="V92" s="3">
        <f t="shared" si="47"/>
        <v>0.27130078746149333</v>
      </c>
      <c r="W92" s="3">
        <f t="shared" si="48"/>
        <v>3.6802058638613189E-2</v>
      </c>
      <c r="X92" s="5" t="str">
        <f t="shared" si="61"/>
        <v>PASS</v>
      </c>
      <c r="Y92" s="3">
        <f t="shared" si="49"/>
        <v>5.3635262299506756E-2</v>
      </c>
      <c r="Z92" s="3">
        <f t="shared" si="50"/>
        <v>1.7805701900083161E-2</v>
      </c>
      <c r="AA92" s="3">
        <f t="shared" si="51"/>
        <v>3.4971108461541958E-2</v>
      </c>
      <c r="AB92" s="3">
        <f t="shared" si="52"/>
        <v>3.5520730398089366</v>
      </c>
      <c r="AC92" s="3">
        <f t="shared" si="53"/>
        <v>3.8177541706061771</v>
      </c>
      <c r="AD92" s="3">
        <f t="shared" si="54"/>
        <v>-1.1993855386014634</v>
      </c>
      <c r="AE92" s="3">
        <f t="shared" si="55"/>
        <v>-3.3495488520356664</v>
      </c>
      <c r="AF92" s="3">
        <f t="shared" si="56"/>
        <v>-2.9438480963595417</v>
      </c>
      <c r="AG92" s="3">
        <f t="shared" si="57"/>
        <v>4.820314257105121</v>
      </c>
      <c r="AH92" s="3">
        <f t="shared" si="58"/>
        <v>4.0129627876333167</v>
      </c>
      <c r="AI92" s="3">
        <f t="shared" si="59"/>
        <v>3.970415393313274</v>
      </c>
      <c r="AJ92" s="11">
        <f t="shared" si="60"/>
        <v>-5.4375845099595477</v>
      </c>
    </row>
    <row r="93" spans="1:36" ht="18" customHeight="1" x14ac:dyDescent="0.25">
      <c r="A93" s="17">
        <v>19</v>
      </c>
      <c r="B93" s="2">
        <v>76</v>
      </c>
      <c r="C93" s="2">
        <v>1</v>
      </c>
      <c r="D93" s="2">
        <v>1</v>
      </c>
      <c r="E93" s="2">
        <v>0</v>
      </c>
      <c r="F93" s="3">
        <f t="shared" si="39"/>
        <v>3.5520730398089366</v>
      </c>
      <c r="G93" s="3">
        <f t="shared" si="39"/>
        <v>3.8177541706061771</v>
      </c>
      <c r="H93" s="3">
        <f t="shared" si="39"/>
        <v>-1.1993855386014634</v>
      </c>
      <c r="I93" s="3">
        <f t="shared" si="39"/>
        <v>-3.3495488520356664</v>
      </c>
      <c r="J93" s="3">
        <f t="shared" si="39"/>
        <v>-2.9438480963595417</v>
      </c>
      <c r="K93" s="3">
        <f t="shared" si="39"/>
        <v>4.820314257105121</v>
      </c>
      <c r="L93" s="3">
        <f t="shared" si="39"/>
        <v>4.0129627876333167</v>
      </c>
      <c r="M93" s="3">
        <f t="shared" si="39"/>
        <v>3.970415393313274</v>
      </c>
      <c r="N93" s="3">
        <f t="shared" si="39"/>
        <v>-5.4375845099595477</v>
      </c>
      <c r="O93" s="3">
        <f t="shared" si="40"/>
        <v>6.1704416718136503</v>
      </c>
      <c r="P93" s="3">
        <f t="shared" si="41"/>
        <v>0.99791404772778258</v>
      </c>
      <c r="Q93" s="3">
        <f t="shared" si="42"/>
        <v>-1.4730826912900872</v>
      </c>
      <c r="R93" s="3">
        <f t="shared" si="43"/>
        <v>0.18647451219687028</v>
      </c>
      <c r="S93" s="3">
        <f t="shared" si="44"/>
        <v>-0.69261129748438055</v>
      </c>
      <c r="T93" s="4">
        <f t="shared" si="45"/>
        <v>0.33345242909528705</v>
      </c>
      <c r="U93" s="1">
        <f t="shared" si="46"/>
        <v>0</v>
      </c>
      <c r="V93" s="3">
        <f t="shared" si="47"/>
        <v>-0.33345242909528705</v>
      </c>
      <c r="W93" s="3">
        <f t="shared" si="48"/>
        <v>5.5595261234773721E-2</v>
      </c>
      <c r="X93" s="5" t="str">
        <f t="shared" si="61"/>
        <v>PASS</v>
      </c>
      <c r="Y93" s="3">
        <f t="shared" si="49"/>
        <v>-7.4113772659702759E-2</v>
      </c>
      <c r="Z93" s="3">
        <f t="shared" si="50"/>
        <v>-6.1910107352830589E-4</v>
      </c>
      <c r="AA93" s="3">
        <f t="shared" si="51"/>
        <v>-4.4640136164715176E-2</v>
      </c>
      <c r="AB93" s="3">
        <f t="shared" si="52"/>
        <v>3.5505252871251161</v>
      </c>
      <c r="AC93" s="3">
        <f t="shared" si="53"/>
        <v>3.8162064179223565</v>
      </c>
      <c r="AD93" s="3">
        <f t="shared" si="54"/>
        <v>-1.2009332912852841</v>
      </c>
      <c r="AE93" s="3">
        <f t="shared" si="55"/>
        <v>-3.4611491924474542</v>
      </c>
      <c r="AF93" s="3">
        <f t="shared" si="56"/>
        <v>-3.0554484367713295</v>
      </c>
      <c r="AG93" s="3">
        <f t="shared" si="57"/>
        <v>4.7087139166933332</v>
      </c>
      <c r="AH93" s="3">
        <f t="shared" si="58"/>
        <v>3.8280648504652652</v>
      </c>
      <c r="AI93" s="3">
        <f t="shared" si="59"/>
        <v>3.9358645693038046</v>
      </c>
      <c r="AJ93" s="11">
        <f t="shared" si="60"/>
        <v>-5.6228689416088047</v>
      </c>
    </row>
    <row r="94" spans="1:36" ht="18" customHeight="1" x14ac:dyDescent="0.25">
      <c r="A94" s="17">
        <v>20</v>
      </c>
      <c r="B94" s="2">
        <v>77</v>
      </c>
      <c r="C94" s="2">
        <v>0</v>
      </c>
      <c r="D94" s="2">
        <v>0</v>
      </c>
      <c r="E94" s="2">
        <v>0</v>
      </c>
      <c r="F94" s="3">
        <f t="shared" si="39"/>
        <v>3.5505252871251161</v>
      </c>
      <c r="G94" s="3">
        <f t="shared" si="39"/>
        <v>3.8162064179223565</v>
      </c>
      <c r="H94" s="3">
        <f t="shared" si="39"/>
        <v>-1.2009332912852841</v>
      </c>
      <c r="I94" s="3">
        <f t="shared" si="39"/>
        <v>-3.4611491924474542</v>
      </c>
      <c r="J94" s="3">
        <f t="shared" si="39"/>
        <v>-3.0554484367713295</v>
      </c>
      <c r="K94" s="3">
        <f t="shared" si="39"/>
        <v>4.7087139166933332</v>
      </c>
      <c r="L94" s="3">
        <f t="shared" si="39"/>
        <v>3.8280648504652652</v>
      </c>
      <c r="M94" s="3">
        <f t="shared" si="39"/>
        <v>3.9358645693038046</v>
      </c>
      <c r="N94" s="3">
        <f t="shared" si="39"/>
        <v>-5.6228689416088047</v>
      </c>
      <c r="O94" s="3">
        <f t="shared" si="40"/>
        <v>-1.2009332912852841</v>
      </c>
      <c r="P94" s="3">
        <f t="shared" si="41"/>
        <v>0.23130923077986149</v>
      </c>
      <c r="Q94" s="3">
        <f t="shared" si="42"/>
        <v>4.7087139166933332</v>
      </c>
      <c r="R94" s="3">
        <f t="shared" si="43"/>
        <v>0.99106420249341043</v>
      </c>
      <c r="S94" s="3">
        <f t="shared" si="44"/>
        <v>-0.8367077251731132</v>
      </c>
      <c r="T94" s="4">
        <f t="shared" si="45"/>
        <v>0.3022286278605113</v>
      </c>
      <c r="U94" s="1">
        <f t="shared" si="46"/>
        <v>0</v>
      </c>
      <c r="V94" s="3">
        <f t="shared" si="47"/>
        <v>-0.3022286278605113</v>
      </c>
      <c r="W94" s="3">
        <f t="shared" si="48"/>
        <v>4.5671071749223711E-2</v>
      </c>
      <c r="X94" s="5" t="str">
        <f t="shared" si="61"/>
        <v>PASS</v>
      </c>
      <c r="Y94" s="3">
        <f t="shared" si="49"/>
        <v>-6.3735932803073742E-2</v>
      </c>
      <c r="Z94" s="3">
        <f t="shared" si="50"/>
        <v>-4.3381869441742563E-2</v>
      </c>
      <c r="AA94" s="3">
        <f t="shared" si="51"/>
        <v>-2.2215679471888853E-3</v>
      </c>
      <c r="AB94" s="3">
        <f t="shared" si="52"/>
        <v>3.5505252871251161</v>
      </c>
      <c r="AC94" s="3">
        <f t="shared" si="53"/>
        <v>3.8162064179223565</v>
      </c>
      <c r="AD94" s="3">
        <f t="shared" si="54"/>
        <v>-1.3093879648896405</v>
      </c>
      <c r="AE94" s="3">
        <f t="shared" si="55"/>
        <v>-3.4611491924474542</v>
      </c>
      <c r="AF94" s="3">
        <f t="shared" si="56"/>
        <v>-3.0554484367713295</v>
      </c>
      <c r="AG94" s="3">
        <f t="shared" si="57"/>
        <v>4.7031599968253612</v>
      </c>
      <c r="AH94" s="3">
        <f t="shared" si="58"/>
        <v>3.7912080764909755</v>
      </c>
      <c r="AI94" s="3">
        <f t="shared" si="59"/>
        <v>3.777948565769675</v>
      </c>
      <c r="AJ94" s="11">
        <f t="shared" si="60"/>
        <v>-5.7822087736164889</v>
      </c>
    </row>
    <row r="95" spans="1:36" ht="18" customHeight="1" x14ac:dyDescent="0.25">
      <c r="A95" s="17">
        <v>20</v>
      </c>
      <c r="B95" s="2">
        <v>78</v>
      </c>
      <c r="C95" s="2">
        <v>0</v>
      </c>
      <c r="D95" s="2">
        <v>1</v>
      </c>
      <c r="E95" s="2">
        <v>1</v>
      </c>
      <c r="F95" s="3">
        <f t="shared" si="39"/>
        <v>3.5505252871251161</v>
      </c>
      <c r="G95" s="3">
        <f t="shared" si="39"/>
        <v>3.8162064179223565</v>
      </c>
      <c r="H95" s="3">
        <f t="shared" si="39"/>
        <v>-1.3093879648896405</v>
      </c>
      <c r="I95" s="3">
        <f t="shared" si="39"/>
        <v>-3.4611491924474542</v>
      </c>
      <c r="J95" s="3">
        <f t="shared" si="39"/>
        <v>-3.0554484367713295</v>
      </c>
      <c r="K95" s="3">
        <f t="shared" si="39"/>
        <v>4.7031599968253612</v>
      </c>
      <c r="L95" s="3">
        <f t="shared" si="39"/>
        <v>3.7912080764909755</v>
      </c>
      <c r="M95" s="3">
        <f t="shared" si="39"/>
        <v>3.777948565769675</v>
      </c>
      <c r="N95" s="3">
        <f t="shared" si="39"/>
        <v>-5.7822087736164889</v>
      </c>
      <c r="O95" s="3">
        <f t="shared" si="40"/>
        <v>2.5068184530327162</v>
      </c>
      <c r="P95" s="3">
        <f t="shared" si="41"/>
        <v>0.92461843865393112</v>
      </c>
      <c r="Q95" s="3">
        <f t="shared" si="42"/>
        <v>1.6477115600540317</v>
      </c>
      <c r="R95" s="3">
        <f t="shared" si="43"/>
        <v>0.83858152131447361</v>
      </c>
      <c r="S95" s="3">
        <f t="shared" si="44"/>
        <v>0.89132997441173778</v>
      </c>
      <c r="T95" s="4">
        <f t="shared" si="45"/>
        <v>0.70916455632766873</v>
      </c>
      <c r="U95" s="1">
        <f t="shared" si="46"/>
        <v>1</v>
      </c>
      <c r="V95" s="3">
        <f t="shared" si="47"/>
        <v>0.29083544367233127</v>
      </c>
      <c r="W95" s="3">
        <f t="shared" si="48"/>
        <v>4.2292627648040891E-2</v>
      </c>
      <c r="X95" s="5" t="str">
        <f t="shared" si="61"/>
        <v>PASS</v>
      </c>
      <c r="Y95" s="3">
        <f t="shared" si="49"/>
        <v>5.9984865043908424E-2</v>
      </c>
      <c r="Z95" s="3">
        <f t="shared" si="50"/>
        <v>1.5850646679338332E-2</v>
      </c>
      <c r="AA95" s="3">
        <f t="shared" si="51"/>
        <v>3.0675825967075392E-2</v>
      </c>
      <c r="AB95" s="3">
        <f t="shared" si="52"/>
        <v>3.5505252871251161</v>
      </c>
      <c r="AC95" s="3">
        <f t="shared" si="53"/>
        <v>3.8558330346207024</v>
      </c>
      <c r="AD95" s="3">
        <f t="shared" si="54"/>
        <v>-1.2697613481912946</v>
      </c>
      <c r="AE95" s="3">
        <f t="shared" si="55"/>
        <v>-3.4611491924474542</v>
      </c>
      <c r="AF95" s="3">
        <f t="shared" si="56"/>
        <v>-2.9787588718536409</v>
      </c>
      <c r="AG95" s="3">
        <f t="shared" si="57"/>
        <v>4.7798495617430499</v>
      </c>
      <c r="AH95" s="3">
        <f t="shared" si="58"/>
        <v>3.9298658571403888</v>
      </c>
      <c r="AI95" s="3">
        <f t="shared" si="59"/>
        <v>3.9037040642305851</v>
      </c>
      <c r="AJ95" s="11">
        <f t="shared" si="60"/>
        <v>-5.6322466110067175</v>
      </c>
    </row>
    <row r="96" spans="1:36" ht="18" customHeight="1" x14ac:dyDescent="0.25">
      <c r="A96" s="17">
        <v>20</v>
      </c>
      <c r="B96" s="2">
        <v>79</v>
      </c>
      <c r="C96" s="2">
        <v>1</v>
      </c>
      <c r="D96" s="2">
        <v>0</v>
      </c>
      <c r="E96" s="2">
        <v>1</v>
      </c>
      <c r="F96" s="3">
        <f t="shared" si="39"/>
        <v>3.5505252871251161</v>
      </c>
      <c r="G96" s="3">
        <f t="shared" si="39"/>
        <v>3.8558330346207024</v>
      </c>
      <c r="H96" s="3">
        <f t="shared" si="39"/>
        <v>-1.2697613481912946</v>
      </c>
      <c r="I96" s="3">
        <f t="shared" si="39"/>
        <v>-3.4611491924474542</v>
      </c>
      <c r="J96" s="3">
        <f t="shared" si="39"/>
        <v>-2.9787588718536409</v>
      </c>
      <c r="K96" s="3">
        <f t="shared" si="39"/>
        <v>4.7798495617430499</v>
      </c>
      <c r="L96" s="3">
        <f t="shared" si="39"/>
        <v>3.9298658571403888</v>
      </c>
      <c r="M96" s="3">
        <f t="shared" si="39"/>
        <v>3.9037040642305851</v>
      </c>
      <c r="N96" s="3">
        <f t="shared" si="39"/>
        <v>-5.6322466110067175</v>
      </c>
      <c r="O96" s="3">
        <f t="shared" si="40"/>
        <v>2.2807639389338217</v>
      </c>
      <c r="P96" s="3">
        <f t="shared" si="41"/>
        <v>0.90727133710914953</v>
      </c>
      <c r="Q96" s="3">
        <f t="shared" si="42"/>
        <v>1.3187003692955956</v>
      </c>
      <c r="R96" s="3">
        <f t="shared" si="43"/>
        <v>0.78896540057692632</v>
      </c>
      <c r="S96" s="3">
        <f t="shared" si="44"/>
        <v>1.0130954806300956</v>
      </c>
      <c r="T96" s="4">
        <f t="shared" si="45"/>
        <v>0.73362550265158544</v>
      </c>
      <c r="U96" s="1">
        <f t="shared" si="46"/>
        <v>1</v>
      </c>
      <c r="V96" s="3">
        <f t="shared" si="47"/>
        <v>0.26637449734841456</v>
      </c>
      <c r="W96" s="3">
        <f t="shared" si="48"/>
        <v>3.5477686418810259E-2</v>
      </c>
      <c r="X96" s="5" t="str">
        <f t="shared" si="61"/>
        <v>PASS</v>
      </c>
      <c r="Y96" s="3">
        <f t="shared" si="49"/>
        <v>5.2054671063830001E-2</v>
      </c>
      <c r="Z96" s="3">
        <f t="shared" si="50"/>
        <v>1.7210307141896315E-2</v>
      </c>
      <c r="AA96" s="3">
        <f t="shared" si="51"/>
        <v>3.3833600399608865E-2</v>
      </c>
      <c r="AB96" s="3">
        <f t="shared" si="52"/>
        <v>3.5935510549798568</v>
      </c>
      <c r="AC96" s="3">
        <f t="shared" si="53"/>
        <v>3.8558330346207024</v>
      </c>
      <c r="AD96" s="3">
        <f t="shared" si="54"/>
        <v>-1.2267355803365538</v>
      </c>
      <c r="AE96" s="3">
        <f t="shared" si="55"/>
        <v>-3.376565191448432</v>
      </c>
      <c r="AF96" s="3">
        <f t="shared" si="56"/>
        <v>-2.9787588718536409</v>
      </c>
      <c r="AG96" s="3">
        <f t="shared" si="57"/>
        <v>4.8644335627420716</v>
      </c>
      <c r="AH96" s="3">
        <f t="shared" si="58"/>
        <v>4.0479351346875339</v>
      </c>
      <c r="AI96" s="3">
        <f t="shared" si="59"/>
        <v>4.0063774002500221</v>
      </c>
      <c r="AJ96" s="11">
        <f t="shared" si="60"/>
        <v>-5.5021099333471426</v>
      </c>
    </row>
    <row r="97" spans="1:36" ht="18" customHeight="1" x14ac:dyDescent="0.25">
      <c r="A97" s="17">
        <v>20</v>
      </c>
      <c r="B97" s="2">
        <v>80</v>
      </c>
      <c r="C97" s="2">
        <v>1</v>
      </c>
      <c r="D97" s="2">
        <v>1</v>
      </c>
      <c r="E97" s="2">
        <v>0</v>
      </c>
      <c r="F97" s="3">
        <f t="shared" si="39"/>
        <v>3.5935510549798568</v>
      </c>
      <c r="G97" s="3">
        <f t="shared" si="39"/>
        <v>3.8558330346207024</v>
      </c>
      <c r="H97" s="3">
        <f t="shared" si="39"/>
        <v>-1.2267355803365538</v>
      </c>
      <c r="I97" s="3">
        <f t="shared" si="39"/>
        <v>-3.376565191448432</v>
      </c>
      <c r="J97" s="3">
        <f t="shared" si="39"/>
        <v>-2.9787588718536409</v>
      </c>
      <c r="K97" s="3">
        <f t="shared" si="39"/>
        <v>4.8644335627420716</v>
      </c>
      <c r="L97" s="3">
        <f t="shared" si="39"/>
        <v>4.0479351346875339</v>
      </c>
      <c r="M97" s="3">
        <f t="shared" si="39"/>
        <v>4.0063774002500221</v>
      </c>
      <c r="N97" s="3">
        <f t="shared" si="39"/>
        <v>-5.5021099333471426</v>
      </c>
      <c r="O97" s="3">
        <f t="shared" si="40"/>
        <v>6.2226485092640056</v>
      </c>
      <c r="P97" s="3">
        <f t="shared" si="41"/>
        <v>0.99801994474365718</v>
      </c>
      <c r="Q97" s="3">
        <f t="shared" si="42"/>
        <v>-1.4908905005600008</v>
      </c>
      <c r="R97" s="3">
        <f t="shared" si="43"/>
        <v>0.1837881057794318</v>
      </c>
      <c r="S97" s="3">
        <f t="shared" si="44"/>
        <v>-0.72586542047090497</v>
      </c>
      <c r="T97" s="4">
        <f t="shared" si="45"/>
        <v>0.32610268736695197</v>
      </c>
      <c r="U97" s="1">
        <f t="shared" si="46"/>
        <v>0</v>
      </c>
      <c r="V97" s="3">
        <f t="shared" si="47"/>
        <v>-0.32610268736695197</v>
      </c>
      <c r="W97" s="3">
        <f t="shared" si="48"/>
        <v>5.3171481353974009E-2</v>
      </c>
      <c r="X97" s="5" t="str">
        <f t="shared" si="61"/>
        <v>PASS</v>
      </c>
      <c r="Y97" s="3">
        <f t="shared" si="49"/>
        <v>-7.1664236786322624E-2</v>
      </c>
      <c r="Z97" s="3">
        <f t="shared" si="50"/>
        <v>-5.7326120890143612E-4</v>
      </c>
      <c r="AA97" s="3">
        <f t="shared" si="51"/>
        <v>-4.3069978836783276E-2</v>
      </c>
      <c r="AB97" s="3">
        <f t="shared" si="52"/>
        <v>3.5921179019576033</v>
      </c>
      <c r="AC97" s="3">
        <f t="shared" si="53"/>
        <v>3.8543998815984488</v>
      </c>
      <c r="AD97" s="3">
        <f t="shared" si="54"/>
        <v>-1.2281687333588074</v>
      </c>
      <c r="AE97" s="3">
        <f t="shared" si="55"/>
        <v>-3.4842401385403901</v>
      </c>
      <c r="AF97" s="3">
        <f t="shared" si="56"/>
        <v>-3.0864338189455989</v>
      </c>
      <c r="AG97" s="3">
        <f t="shared" si="57"/>
        <v>4.7567586156501136</v>
      </c>
      <c r="AH97" s="3">
        <f t="shared" si="58"/>
        <v>3.8691292905935786</v>
      </c>
      <c r="AI97" s="3">
        <f t="shared" si="59"/>
        <v>3.9734498144223047</v>
      </c>
      <c r="AJ97" s="11">
        <f t="shared" si="60"/>
        <v>-5.6812705253129492</v>
      </c>
    </row>
    <row r="98" spans="1:36" ht="18" customHeight="1" x14ac:dyDescent="0.25">
      <c r="A98" s="18">
        <f>INT((ROW()-18)/4) + 1</f>
        <v>21</v>
      </c>
      <c r="B98" s="2">
        <v>81</v>
      </c>
      <c r="C98" s="2">
        <v>0</v>
      </c>
      <c r="D98" s="2">
        <v>0</v>
      </c>
      <c r="E98" s="2">
        <v>0</v>
      </c>
      <c r="F98" s="3">
        <f t="shared" si="39"/>
        <v>3.5921179019576033</v>
      </c>
      <c r="G98" s="3">
        <f t="shared" si="39"/>
        <v>3.8543998815984488</v>
      </c>
      <c r="H98" s="3">
        <f t="shared" si="39"/>
        <v>-1.2281687333588074</v>
      </c>
      <c r="I98" s="3">
        <f t="shared" si="39"/>
        <v>-3.4842401385403901</v>
      </c>
      <c r="J98" s="3">
        <f t="shared" si="39"/>
        <v>-3.0864338189455989</v>
      </c>
      <c r="K98" s="3">
        <f t="shared" si="39"/>
        <v>4.7567586156501136</v>
      </c>
      <c r="L98" s="3">
        <f t="shared" si="39"/>
        <v>3.8691292905935786</v>
      </c>
      <c r="M98" s="3">
        <f t="shared" si="39"/>
        <v>3.9734498144223047</v>
      </c>
      <c r="N98" s="3">
        <f t="shared" si="39"/>
        <v>-5.6812705253129492</v>
      </c>
      <c r="O98" s="3">
        <f t="shared" si="40"/>
        <v>-1.2281687333588074</v>
      </c>
      <c r="P98" s="3">
        <f t="shared" si="41"/>
        <v>0.22650210093121967</v>
      </c>
      <c r="Q98" s="3">
        <f t="shared" si="42"/>
        <v>4.7567586156501136</v>
      </c>
      <c r="R98" s="3">
        <f t="shared" si="43"/>
        <v>0.99147979878197234</v>
      </c>
      <c r="S98" s="3">
        <f t="shared" si="44"/>
        <v>-0.86530938974529192</v>
      </c>
      <c r="T98" s="4">
        <f t="shared" si="45"/>
        <v>0.29623125688615759</v>
      </c>
      <c r="U98" s="1">
        <f t="shared" si="46"/>
        <v>0</v>
      </c>
      <c r="V98" s="3">
        <f t="shared" si="47"/>
        <v>-0.29623125688615759</v>
      </c>
      <c r="W98" s="3">
        <f t="shared" si="48"/>
        <v>4.3876478778176346E-2</v>
      </c>
      <c r="X98" s="5" t="str">
        <f t="shared" si="61"/>
        <v>PASS</v>
      </c>
      <c r="Y98" s="3">
        <f t="shared" si="49"/>
        <v>-6.1757788643956694E-2</v>
      </c>
      <c r="Z98" s="3">
        <f t="shared" si="50"/>
        <v>-4.1863578808872488E-2</v>
      </c>
      <c r="AA98" s="3">
        <f t="shared" si="51"/>
        <v>-2.0729708275509426E-3</v>
      </c>
      <c r="AB98" s="3">
        <f t="shared" si="52"/>
        <v>3.5921179019576033</v>
      </c>
      <c r="AC98" s="3">
        <f t="shared" si="53"/>
        <v>3.8543998815984488</v>
      </c>
      <c r="AD98" s="3">
        <f t="shared" si="54"/>
        <v>-1.3328276803809886</v>
      </c>
      <c r="AE98" s="3">
        <f t="shared" si="55"/>
        <v>-3.4842401385403901</v>
      </c>
      <c r="AF98" s="3">
        <f t="shared" si="56"/>
        <v>-3.0864338189455989</v>
      </c>
      <c r="AG98" s="3">
        <f t="shared" si="57"/>
        <v>4.751576188581236</v>
      </c>
      <c r="AH98" s="3">
        <f t="shared" si="58"/>
        <v>3.8341586184017724</v>
      </c>
      <c r="AI98" s="3">
        <f t="shared" si="59"/>
        <v>3.8203708147774802</v>
      </c>
      <c r="AJ98" s="11">
        <f t="shared" si="60"/>
        <v>-5.8356649969228407</v>
      </c>
    </row>
    <row r="99" spans="1:36" ht="18" customHeight="1" x14ac:dyDescent="0.25">
      <c r="A99" s="18">
        <f t="shared" ref="A99:A101" si="62">INT((ROW()-18)/4) + 1</f>
        <v>21</v>
      </c>
      <c r="B99" s="2">
        <v>82</v>
      </c>
      <c r="C99" s="2">
        <v>0</v>
      </c>
      <c r="D99" s="2">
        <v>1</v>
      </c>
      <c r="E99" s="2">
        <v>1</v>
      </c>
      <c r="F99" s="3">
        <f t="shared" si="39"/>
        <v>3.5921179019576033</v>
      </c>
      <c r="G99" s="3">
        <f t="shared" si="39"/>
        <v>3.8543998815984488</v>
      </c>
      <c r="H99" s="3">
        <f t="shared" si="39"/>
        <v>-1.3328276803809886</v>
      </c>
      <c r="I99" s="3">
        <f t="shared" si="39"/>
        <v>-3.4842401385403901</v>
      </c>
      <c r="J99" s="3">
        <f t="shared" si="39"/>
        <v>-3.0864338189455989</v>
      </c>
      <c r="K99" s="3">
        <f t="shared" si="39"/>
        <v>4.751576188581236</v>
      </c>
      <c r="L99" s="3">
        <f t="shared" si="39"/>
        <v>3.8341586184017724</v>
      </c>
      <c r="M99" s="3">
        <f t="shared" si="39"/>
        <v>3.8203708147774802</v>
      </c>
      <c r="N99" s="3">
        <f t="shared" si="39"/>
        <v>-5.8356649969228407</v>
      </c>
      <c r="O99" s="3">
        <f t="shared" si="40"/>
        <v>2.5215722012174604</v>
      </c>
      <c r="P99" s="3">
        <f t="shared" si="41"/>
        <v>0.92564034235665971</v>
      </c>
      <c r="Q99" s="3">
        <f t="shared" si="42"/>
        <v>1.6651423696356371</v>
      </c>
      <c r="R99" s="3">
        <f t="shared" si="43"/>
        <v>0.84092709781317998</v>
      </c>
      <c r="S99" s="3">
        <f t="shared" si="44"/>
        <v>0.92604024110531391</v>
      </c>
      <c r="T99" s="4">
        <f t="shared" si="45"/>
        <v>0.71627124618502358</v>
      </c>
      <c r="U99" s="1">
        <f t="shared" si="46"/>
        <v>1</v>
      </c>
      <c r="V99" s="3">
        <f t="shared" si="47"/>
        <v>0.28372875381497642</v>
      </c>
      <c r="W99" s="3">
        <f t="shared" si="48"/>
        <v>4.0251002870699749E-2</v>
      </c>
      <c r="X99" s="5" t="str">
        <f t="shared" si="61"/>
        <v>PASS</v>
      </c>
      <c r="Y99" s="3">
        <f t="shared" si="49"/>
        <v>5.7661271972786143E-2</v>
      </c>
      <c r="Z99" s="3">
        <f t="shared" si="50"/>
        <v>1.5217172014682872E-2</v>
      </c>
      <c r="AA99" s="3">
        <f t="shared" si="51"/>
        <v>2.9467567632642015E-2</v>
      </c>
      <c r="AB99" s="3">
        <f t="shared" si="52"/>
        <v>3.5921179019576033</v>
      </c>
      <c r="AC99" s="3">
        <f t="shared" si="53"/>
        <v>3.8924428116351559</v>
      </c>
      <c r="AD99" s="3">
        <f t="shared" si="54"/>
        <v>-1.2947847503442815</v>
      </c>
      <c r="AE99" s="3">
        <f t="shared" si="55"/>
        <v>-3.4842401385403901</v>
      </c>
      <c r="AF99" s="3">
        <f t="shared" si="56"/>
        <v>-3.0127648998639938</v>
      </c>
      <c r="AG99" s="3">
        <f t="shared" si="57"/>
        <v>4.8252451076628411</v>
      </c>
      <c r="AH99" s="3">
        <f t="shared" si="58"/>
        <v>3.9675926172257978</v>
      </c>
      <c r="AI99" s="3">
        <f t="shared" si="59"/>
        <v>3.9415931300182088</v>
      </c>
      <c r="AJ99" s="11">
        <f t="shared" si="60"/>
        <v>-5.6915118169908752</v>
      </c>
    </row>
    <row r="100" spans="1:36" ht="18" customHeight="1" x14ac:dyDescent="0.25">
      <c r="A100" s="18">
        <f t="shared" si="62"/>
        <v>21</v>
      </c>
      <c r="B100" s="2">
        <v>83</v>
      </c>
      <c r="C100" s="2">
        <v>1</v>
      </c>
      <c r="D100" s="2">
        <v>0</v>
      </c>
      <c r="E100" s="2">
        <v>1</v>
      </c>
      <c r="F100" s="3">
        <f t="shared" si="39"/>
        <v>3.5921179019576033</v>
      </c>
      <c r="G100" s="3">
        <f t="shared" si="39"/>
        <v>3.8924428116351559</v>
      </c>
      <c r="H100" s="3">
        <f t="shared" si="39"/>
        <v>-1.2947847503442815</v>
      </c>
      <c r="I100" s="3">
        <f t="shared" si="39"/>
        <v>-3.4842401385403901</v>
      </c>
      <c r="J100" s="3">
        <f t="shared" si="39"/>
        <v>-3.0127648998639938</v>
      </c>
      <c r="K100" s="3">
        <f t="shared" si="39"/>
        <v>4.8252451076628411</v>
      </c>
      <c r="L100" s="3">
        <f t="shared" si="39"/>
        <v>3.9675926172257978</v>
      </c>
      <c r="M100" s="3">
        <f t="shared" si="39"/>
        <v>3.9415931300182088</v>
      </c>
      <c r="N100" s="3">
        <f t="shared" si="39"/>
        <v>-5.6915118169908752</v>
      </c>
      <c r="O100" s="3">
        <f t="shared" si="40"/>
        <v>2.297333151613322</v>
      </c>
      <c r="P100" s="3">
        <f t="shared" si="41"/>
        <v>0.9086559307883062</v>
      </c>
      <c r="Q100" s="3">
        <f t="shared" si="42"/>
        <v>1.341004969122451</v>
      </c>
      <c r="R100" s="3">
        <f t="shared" si="43"/>
        <v>0.79265515966618405</v>
      </c>
      <c r="S100" s="3">
        <f t="shared" si="44"/>
        <v>1.0379888774169608</v>
      </c>
      <c r="T100" s="4">
        <f t="shared" si="45"/>
        <v>0.73846177226532261</v>
      </c>
      <c r="U100" s="1">
        <f t="shared" si="46"/>
        <v>1</v>
      </c>
      <c r="V100" s="3">
        <f t="shared" si="47"/>
        <v>0.26153822773467739</v>
      </c>
      <c r="W100" s="3">
        <f t="shared" si="48"/>
        <v>3.4201122283297983E-2</v>
      </c>
      <c r="X100" s="5" t="str">
        <f t="shared" si="61"/>
        <v>PASS</v>
      </c>
      <c r="Y100" s="3">
        <f t="shared" si="49"/>
        <v>5.0512442749574497E-2</v>
      </c>
      <c r="Z100" s="3">
        <f t="shared" si="50"/>
        <v>1.6634328161920488E-2</v>
      </c>
      <c r="AA100" s="3">
        <f t="shared" si="51"/>
        <v>3.2722591225793844E-2</v>
      </c>
      <c r="AB100" s="3">
        <f t="shared" si="52"/>
        <v>3.6337037223624047</v>
      </c>
      <c r="AC100" s="3">
        <f t="shared" si="53"/>
        <v>3.8924428116351559</v>
      </c>
      <c r="AD100" s="3">
        <f t="shared" si="54"/>
        <v>-1.2531989299394803</v>
      </c>
      <c r="AE100" s="3">
        <f t="shared" si="55"/>
        <v>-3.4024336604759053</v>
      </c>
      <c r="AF100" s="3">
        <f t="shared" si="56"/>
        <v>-3.0127648998639938</v>
      </c>
      <c r="AG100" s="3">
        <f t="shared" si="57"/>
        <v>4.9070515857273254</v>
      </c>
      <c r="AH100" s="3">
        <f t="shared" si="58"/>
        <v>4.0823386939333117</v>
      </c>
      <c r="AI100" s="3">
        <f t="shared" si="59"/>
        <v>4.0416905009501916</v>
      </c>
      <c r="AJ100" s="11">
        <f t="shared" si="60"/>
        <v>-5.5652307101169392</v>
      </c>
    </row>
    <row r="101" spans="1:36" ht="18" customHeight="1" x14ac:dyDescent="0.25">
      <c r="A101" s="18">
        <f t="shared" si="62"/>
        <v>21</v>
      </c>
      <c r="B101" s="2">
        <v>84</v>
      </c>
      <c r="C101" s="2">
        <v>1</v>
      </c>
      <c r="D101" s="2">
        <v>1</v>
      </c>
      <c r="E101" s="2">
        <v>0</v>
      </c>
      <c r="F101" s="3">
        <f t="shared" si="39"/>
        <v>3.6337037223624047</v>
      </c>
      <c r="G101" s="3">
        <f t="shared" si="39"/>
        <v>3.8924428116351559</v>
      </c>
      <c r="H101" s="3">
        <f t="shared" si="39"/>
        <v>-1.2531989299394803</v>
      </c>
      <c r="I101" s="3">
        <f t="shared" si="39"/>
        <v>-3.4024336604759053</v>
      </c>
      <c r="J101" s="3">
        <f t="shared" si="39"/>
        <v>-3.0127648998639938</v>
      </c>
      <c r="K101" s="3">
        <f t="shared" si="39"/>
        <v>4.9070515857273254</v>
      </c>
      <c r="L101" s="3">
        <f t="shared" si="39"/>
        <v>4.0823386939333117</v>
      </c>
      <c r="M101" s="3">
        <f t="shared" si="39"/>
        <v>4.0416905009501916</v>
      </c>
      <c r="N101" s="3">
        <f t="shared" si="39"/>
        <v>-5.5652307101169392</v>
      </c>
      <c r="O101" s="3">
        <f t="shared" si="40"/>
        <v>6.2729476040580803</v>
      </c>
      <c r="P101" s="3">
        <f t="shared" si="41"/>
        <v>0.9981168935255782</v>
      </c>
      <c r="Q101" s="3">
        <f t="shared" si="42"/>
        <v>-1.5081469746125737</v>
      </c>
      <c r="R101" s="3">
        <f t="shared" si="43"/>
        <v>0.18121357379454822</v>
      </c>
      <c r="S101" s="3">
        <f t="shared" si="44"/>
        <v>-0.75817031476029406</v>
      </c>
      <c r="T101" s="4">
        <f t="shared" si="45"/>
        <v>0.31904364242625394</v>
      </c>
      <c r="U101" s="1">
        <f t="shared" si="46"/>
        <v>0</v>
      </c>
      <c r="V101" s="3">
        <f t="shared" si="47"/>
        <v>-0.31904364242625394</v>
      </c>
      <c r="W101" s="3">
        <f t="shared" si="48"/>
        <v>5.089442288630569E-2</v>
      </c>
      <c r="X101" s="5" t="str">
        <f t="shared" si="61"/>
        <v>PASS</v>
      </c>
      <c r="Y101" s="3">
        <f t="shared" si="49"/>
        <v>-6.9313761658953241E-2</v>
      </c>
      <c r="Z101" s="3">
        <f t="shared" si="50"/>
        <v>-5.3184463772374942E-4</v>
      </c>
      <c r="AA101" s="3">
        <f t="shared" si="51"/>
        <v>-4.1566540639536652E-2</v>
      </c>
      <c r="AB101" s="3">
        <f t="shared" si="52"/>
        <v>3.6323741107680951</v>
      </c>
      <c r="AC101" s="3">
        <f t="shared" si="53"/>
        <v>3.8911132000408464</v>
      </c>
      <c r="AD101" s="3">
        <f t="shared" si="54"/>
        <v>-1.2545285415337897</v>
      </c>
      <c r="AE101" s="3">
        <f t="shared" si="55"/>
        <v>-3.5063500120747468</v>
      </c>
      <c r="AF101" s="3">
        <f t="shared" si="56"/>
        <v>-3.1166812514628353</v>
      </c>
      <c r="AG101" s="3">
        <f t="shared" si="57"/>
        <v>4.8031352341284839</v>
      </c>
      <c r="AH101" s="3">
        <f t="shared" si="58"/>
        <v>3.909380602769295</v>
      </c>
      <c r="AI101" s="3">
        <f t="shared" si="59"/>
        <v>4.0102890147917858</v>
      </c>
      <c r="AJ101" s="11">
        <f t="shared" si="60"/>
        <v>-5.738515114264322</v>
      </c>
    </row>
    <row r="102" spans="1:36" ht="18" customHeight="1" x14ac:dyDescent="0.25">
      <c r="A102" s="18">
        <f>INT((ROW()-18)/4) + 1</f>
        <v>22</v>
      </c>
      <c r="B102" s="2">
        <v>85</v>
      </c>
      <c r="C102" s="2">
        <v>0</v>
      </c>
      <c r="D102" s="2">
        <v>0</v>
      </c>
      <c r="E102" s="2">
        <v>0</v>
      </c>
      <c r="F102" s="3">
        <f t="shared" si="39"/>
        <v>3.6323741107680951</v>
      </c>
      <c r="G102" s="3">
        <f t="shared" si="39"/>
        <v>3.8911132000408464</v>
      </c>
      <c r="H102" s="3">
        <f t="shared" si="39"/>
        <v>-1.2545285415337897</v>
      </c>
      <c r="I102" s="3">
        <f t="shared" si="39"/>
        <v>-3.5063500120747468</v>
      </c>
      <c r="J102" s="3">
        <f t="shared" si="39"/>
        <v>-3.1166812514628353</v>
      </c>
      <c r="K102" s="3">
        <f t="shared" si="39"/>
        <v>4.8031352341284839</v>
      </c>
      <c r="L102" s="3">
        <f t="shared" si="39"/>
        <v>3.909380602769295</v>
      </c>
      <c r="M102" s="3">
        <f t="shared" si="39"/>
        <v>4.0102890147917858</v>
      </c>
      <c r="N102" s="3">
        <f t="shared" si="39"/>
        <v>-5.738515114264322</v>
      </c>
      <c r="O102" s="3">
        <f t="shared" si="40"/>
        <v>-1.2545285415337897</v>
      </c>
      <c r="P102" s="3">
        <f t="shared" si="41"/>
        <v>0.22191721111809948</v>
      </c>
      <c r="Q102" s="3">
        <f t="shared" si="42"/>
        <v>4.8031352341284839</v>
      </c>
      <c r="R102" s="3">
        <f t="shared" si="43"/>
        <v>0.99186277242426868</v>
      </c>
      <c r="S102" s="3">
        <f t="shared" si="44"/>
        <v>-0.89329989326459547</v>
      </c>
      <c r="T102" s="4">
        <f t="shared" si="45"/>
        <v>0.29042931500929625</v>
      </c>
      <c r="U102" s="1">
        <f t="shared" si="46"/>
        <v>0</v>
      </c>
      <c r="V102" s="3">
        <f t="shared" si="47"/>
        <v>-0.29042931500929625</v>
      </c>
      <c r="W102" s="3">
        <f t="shared" si="48"/>
        <v>4.2174593508384518E-2</v>
      </c>
      <c r="X102" s="5" t="str">
        <f t="shared" si="61"/>
        <v>PASS</v>
      </c>
      <c r="Y102" s="3">
        <f t="shared" si="49"/>
        <v>-5.9851710409897778E-2</v>
      </c>
      <c r="Z102" s="3">
        <f t="shared" si="50"/>
        <v>-4.0401855823309241E-2</v>
      </c>
      <c r="AA102" s="3">
        <f t="shared" si="51"/>
        <v>-1.9372260078611761E-3</v>
      </c>
      <c r="AB102" s="3">
        <f t="shared" si="52"/>
        <v>3.6323741107680951</v>
      </c>
      <c r="AC102" s="3">
        <f t="shared" si="53"/>
        <v>3.8911132000408464</v>
      </c>
      <c r="AD102" s="3">
        <f t="shared" si="54"/>
        <v>-1.3555331810920628</v>
      </c>
      <c r="AE102" s="3">
        <f t="shared" si="55"/>
        <v>-3.5063500120747468</v>
      </c>
      <c r="AF102" s="3">
        <f t="shared" si="56"/>
        <v>-3.1166812514628353</v>
      </c>
      <c r="AG102" s="3">
        <f t="shared" si="57"/>
        <v>4.7982921691088309</v>
      </c>
      <c r="AH102" s="3">
        <f t="shared" si="58"/>
        <v>3.8761752911322636</v>
      </c>
      <c r="AI102" s="3">
        <f t="shared" si="59"/>
        <v>3.8618773062380467</v>
      </c>
      <c r="AJ102" s="11">
        <f t="shared" si="60"/>
        <v>-5.8881443902890664</v>
      </c>
    </row>
    <row r="103" spans="1:36" ht="18" customHeight="1" x14ac:dyDescent="0.25">
      <c r="A103" s="18">
        <f t="shared" ref="A103:A166" si="63">INT((ROW()-18)/4) + 1</f>
        <v>22</v>
      </c>
      <c r="B103" s="2">
        <v>86</v>
      </c>
      <c r="C103" s="2">
        <v>0</v>
      </c>
      <c r="D103" s="2">
        <v>1</v>
      </c>
      <c r="E103" s="2">
        <v>1</v>
      </c>
      <c r="F103" s="3">
        <f t="shared" si="39"/>
        <v>3.6323741107680951</v>
      </c>
      <c r="G103" s="3">
        <f t="shared" si="39"/>
        <v>3.8911132000408464</v>
      </c>
      <c r="H103" s="3">
        <f t="shared" si="39"/>
        <v>-1.3555331810920628</v>
      </c>
      <c r="I103" s="3">
        <f t="shared" si="39"/>
        <v>-3.5063500120747468</v>
      </c>
      <c r="J103" s="3">
        <f t="shared" si="39"/>
        <v>-3.1166812514628353</v>
      </c>
      <c r="K103" s="3">
        <f t="shared" si="39"/>
        <v>4.7982921691088309</v>
      </c>
      <c r="L103" s="3">
        <f t="shared" si="39"/>
        <v>3.8761752911322636</v>
      </c>
      <c r="M103" s="3">
        <f t="shared" si="39"/>
        <v>3.8618773062380467</v>
      </c>
      <c r="N103" s="3">
        <f t="shared" si="39"/>
        <v>-5.8881443902890664</v>
      </c>
      <c r="O103" s="3">
        <f t="shared" si="40"/>
        <v>2.5355800189487834</v>
      </c>
      <c r="P103" s="3">
        <f t="shared" si="41"/>
        <v>0.92659877451432704</v>
      </c>
      <c r="Q103" s="3">
        <f t="shared" si="42"/>
        <v>1.6816109176459957</v>
      </c>
      <c r="R103" s="3">
        <f t="shared" si="43"/>
        <v>0.84311772535022067</v>
      </c>
      <c r="S103" s="3">
        <f t="shared" si="44"/>
        <v>0.95953209429386366</v>
      </c>
      <c r="T103" s="4">
        <f t="shared" si="45"/>
        <v>0.72302811282691259</v>
      </c>
      <c r="U103" s="1">
        <f t="shared" si="46"/>
        <v>1</v>
      </c>
      <c r="V103" s="3">
        <f t="shared" si="47"/>
        <v>0.27697188717308741</v>
      </c>
      <c r="W103" s="3">
        <f t="shared" si="48"/>
        <v>3.8356713142110727E-2</v>
      </c>
      <c r="X103" s="5" t="str">
        <f t="shared" si="61"/>
        <v>PASS</v>
      </c>
      <c r="Y103" s="3">
        <f t="shared" si="49"/>
        <v>5.5465963834767117E-2</v>
      </c>
      <c r="Z103" s="3">
        <f t="shared" si="50"/>
        <v>1.4622613642689398E-2</v>
      </c>
      <c r="AA103" s="3">
        <f t="shared" si="51"/>
        <v>2.8332645873706142E-2</v>
      </c>
      <c r="AB103" s="3">
        <f t="shared" si="52"/>
        <v>3.6323741107680951</v>
      </c>
      <c r="AC103" s="3">
        <f t="shared" si="53"/>
        <v>3.9276697341475697</v>
      </c>
      <c r="AD103" s="3">
        <f t="shared" si="54"/>
        <v>-1.3189766469853392</v>
      </c>
      <c r="AE103" s="3">
        <f t="shared" si="55"/>
        <v>-3.5063500120747468</v>
      </c>
      <c r="AF103" s="3">
        <f t="shared" si="56"/>
        <v>-3.0458496367785699</v>
      </c>
      <c r="AG103" s="3">
        <f t="shared" si="57"/>
        <v>4.8691237837930963</v>
      </c>
      <c r="AH103" s="3">
        <f t="shared" si="58"/>
        <v>4.0046620264236417</v>
      </c>
      <c r="AI103" s="3">
        <f t="shared" si="59"/>
        <v>3.9787881493948629</v>
      </c>
      <c r="AJ103" s="11">
        <f t="shared" si="60"/>
        <v>-5.7494794807021483</v>
      </c>
    </row>
    <row r="104" spans="1:36" ht="18" customHeight="1" x14ac:dyDescent="0.25">
      <c r="A104" s="18">
        <f t="shared" si="63"/>
        <v>22</v>
      </c>
      <c r="B104" s="2">
        <v>87</v>
      </c>
      <c r="C104" s="2">
        <v>1</v>
      </c>
      <c r="D104" s="2">
        <v>0</v>
      </c>
      <c r="E104" s="2">
        <v>1</v>
      </c>
      <c r="F104" s="3">
        <f t="shared" si="39"/>
        <v>3.6323741107680951</v>
      </c>
      <c r="G104" s="3">
        <f t="shared" si="39"/>
        <v>3.9276697341475697</v>
      </c>
      <c r="H104" s="3">
        <f t="shared" si="39"/>
        <v>-1.3189766469853392</v>
      </c>
      <c r="I104" s="3">
        <f t="shared" si="39"/>
        <v>-3.5063500120747468</v>
      </c>
      <c r="J104" s="3">
        <f t="shared" si="39"/>
        <v>-3.0458496367785699</v>
      </c>
      <c r="K104" s="3">
        <f t="shared" si="39"/>
        <v>4.8691237837930963</v>
      </c>
      <c r="L104" s="3">
        <f t="shared" si="39"/>
        <v>4.0046620264236417</v>
      </c>
      <c r="M104" s="3">
        <f t="shared" si="39"/>
        <v>3.9787881493948629</v>
      </c>
      <c r="N104" s="3">
        <f t="shared" si="39"/>
        <v>-5.7494794807021483</v>
      </c>
      <c r="O104" s="3">
        <f t="shared" si="40"/>
        <v>2.3133974637827559</v>
      </c>
      <c r="P104" s="3">
        <f t="shared" si="41"/>
        <v>0.90998054969030751</v>
      </c>
      <c r="Q104" s="3">
        <f t="shared" si="42"/>
        <v>1.3627737717183495</v>
      </c>
      <c r="R104" s="3">
        <f t="shared" si="43"/>
        <v>0.7962101384794692</v>
      </c>
      <c r="S104" s="3">
        <f t="shared" si="44"/>
        <v>1.0626365348368925</v>
      </c>
      <c r="T104" s="4">
        <f t="shared" si="45"/>
        <v>0.74319406805866117</v>
      </c>
      <c r="U104" s="1">
        <f t="shared" si="46"/>
        <v>1</v>
      </c>
      <c r="V104" s="3">
        <f t="shared" si="47"/>
        <v>0.25680593194133883</v>
      </c>
      <c r="W104" s="3">
        <f t="shared" si="48"/>
        <v>3.2974643340129776E-2</v>
      </c>
      <c r="X104" s="5" t="str">
        <f t="shared" si="61"/>
        <v>PASS</v>
      </c>
      <c r="Y104" s="3">
        <f t="shared" si="49"/>
        <v>4.9013118653468975E-2</v>
      </c>
      <c r="Z104" s="3">
        <f t="shared" si="50"/>
        <v>1.6078542318941492E-2</v>
      </c>
      <c r="AA104" s="3">
        <f t="shared" si="51"/>
        <v>3.1642692466895453E-2</v>
      </c>
      <c r="AB104" s="3">
        <f t="shared" si="52"/>
        <v>3.6725704665654488</v>
      </c>
      <c r="AC104" s="3">
        <f t="shared" si="53"/>
        <v>3.9276697341475697</v>
      </c>
      <c r="AD104" s="3">
        <f t="shared" si="54"/>
        <v>-1.2787802911879855</v>
      </c>
      <c r="AE104" s="3">
        <f t="shared" si="55"/>
        <v>-3.4272432809075082</v>
      </c>
      <c r="AF104" s="3">
        <f t="shared" si="56"/>
        <v>-3.0458496367785699</v>
      </c>
      <c r="AG104" s="3">
        <f t="shared" si="57"/>
        <v>4.9482305149603345</v>
      </c>
      <c r="AH104" s="3">
        <f t="shared" si="58"/>
        <v>4.1161644880594412</v>
      </c>
      <c r="AI104" s="3">
        <f t="shared" si="59"/>
        <v>4.0763500043708358</v>
      </c>
      <c r="AJ104" s="11">
        <f t="shared" si="60"/>
        <v>-5.6269466840684759</v>
      </c>
    </row>
    <row r="105" spans="1:36" ht="18" customHeight="1" x14ac:dyDescent="0.25">
      <c r="A105" s="18">
        <f t="shared" si="63"/>
        <v>22</v>
      </c>
      <c r="B105" s="2">
        <v>88</v>
      </c>
      <c r="C105" s="2">
        <v>1</v>
      </c>
      <c r="D105" s="2">
        <v>1</v>
      </c>
      <c r="E105" s="2">
        <v>0</v>
      </c>
      <c r="F105" s="3">
        <f t="shared" si="39"/>
        <v>3.6725704665654488</v>
      </c>
      <c r="G105" s="3">
        <f t="shared" si="39"/>
        <v>3.9276697341475697</v>
      </c>
      <c r="H105" s="3">
        <f t="shared" si="39"/>
        <v>-1.2787802911879855</v>
      </c>
      <c r="I105" s="3">
        <f t="shared" si="39"/>
        <v>-3.4272432809075082</v>
      </c>
      <c r="J105" s="3">
        <f t="shared" si="39"/>
        <v>-3.0458496367785699</v>
      </c>
      <c r="K105" s="3">
        <f t="shared" si="39"/>
        <v>4.9482305149603345</v>
      </c>
      <c r="L105" s="3">
        <f t="shared" si="39"/>
        <v>4.1161644880594412</v>
      </c>
      <c r="M105" s="3">
        <f t="shared" si="39"/>
        <v>4.0763500043708358</v>
      </c>
      <c r="N105" s="3">
        <f t="shared" si="39"/>
        <v>-5.6269466840684759</v>
      </c>
      <c r="O105" s="3">
        <f t="shared" si="40"/>
        <v>6.3214599095250339</v>
      </c>
      <c r="P105" s="3">
        <f t="shared" si="41"/>
        <v>0.99820590688648214</v>
      </c>
      <c r="Q105" s="3">
        <f t="shared" si="42"/>
        <v>-1.5248624027257431</v>
      </c>
      <c r="R105" s="3">
        <f t="shared" si="43"/>
        <v>0.17874662153218604</v>
      </c>
      <c r="S105" s="3">
        <f t="shared" si="44"/>
        <v>-0.78953318690717023</v>
      </c>
      <c r="T105" s="4">
        <f t="shared" si="45"/>
        <v>0.31226891202794493</v>
      </c>
      <c r="U105" s="1">
        <f t="shared" si="46"/>
        <v>0</v>
      </c>
      <c r="V105" s="3">
        <f t="shared" si="47"/>
        <v>-0.31226891202794493</v>
      </c>
      <c r="W105" s="3">
        <f t="shared" si="48"/>
        <v>4.8755936709558204E-2</v>
      </c>
      <c r="X105" s="5" t="str">
        <f t="shared" si="61"/>
        <v>PASS</v>
      </c>
      <c r="Y105" s="3">
        <f t="shared" si="49"/>
        <v>-6.7061946796722241E-2</v>
      </c>
      <c r="Z105" s="3">
        <f t="shared" si="50"/>
        <v>-4.9434937900139206E-4</v>
      </c>
      <c r="AA105" s="3">
        <f t="shared" si="51"/>
        <v>-4.0129397041909785E-2</v>
      </c>
      <c r="AB105" s="3">
        <f t="shared" si="52"/>
        <v>3.6713345931179453</v>
      </c>
      <c r="AC105" s="3">
        <f t="shared" si="53"/>
        <v>3.9264338607000662</v>
      </c>
      <c r="AD105" s="3">
        <f t="shared" si="54"/>
        <v>-1.2800161646354891</v>
      </c>
      <c r="AE105" s="3">
        <f t="shared" si="55"/>
        <v>-3.5275667735122829</v>
      </c>
      <c r="AF105" s="3">
        <f t="shared" si="56"/>
        <v>-3.1461731293833441</v>
      </c>
      <c r="AG105" s="3">
        <f t="shared" si="57"/>
        <v>4.8479070223555603</v>
      </c>
      <c r="AH105" s="3">
        <f t="shared" si="58"/>
        <v>3.9488104095099534</v>
      </c>
      <c r="AI105" s="3">
        <f t="shared" si="59"/>
        <v>4.0463822633126227</v>
      </c>
      <c r="AJ105" s="11">
        <f t="shared" si="60"/>
        <v>-5.7946015510602811</v>
      </c>
    </row>
    <row r="106" spans="1:36" ht="18" customHeight="1" x14ac:dyDescent="0.25">
      <c r="A106" s="18">
        <f t="shared" si="63"/>
        <v>23</v>
      </c>
      <c r="B106" s="2">
        <v>89</v>
      </c>
      <c r="C106" s="2">
        <v>0</v>
      </c>
      <c r="D106" s="2">
        <v>0</v>
      </c>
      <c r="E106" s="2">
        <v>0</v>
      </c>
      <c r="F106" s="3">
        <f t="shared" si="39"/>
        <v>3.6713345931179453</v>
      </c>
      <c r="G106" s="3">
        <f t="shared" si="39"/>
        <v>3.9264338607000662</v>
      </c>
      <c r="H106" s="3">
        <f t="shared" si="39"/>
        <v>-1.2800161646354891</v>
      </c>
      <c r="I106" s="3">
        <f t="shared" si="39"/>
        <v>-3.5275667735122829</v>
      </c>
      <c r="J106" s="3">
        <f t="shared" si="39"/>
        <v>-3.1461731293833441</v>
      </c>
      <c r="K106" s="3">
        <f t="shared" si="39"/>
        <v>4.8479070223555603</v>
      </c>
      <c r="L106" s="3">
        <f t="shared" si="39"/>
        <v>3.9488104095099534</v>
      </c>
      <c r="M106" s="3">
        <f t="shared" si="39"/>
        <v>4.0463822633126227</v>
      </c>
      <c r="N106" s="3">
        <f t="shared" si="39"/>
        <v>-5.7946015510602811</v>
      </c>
      <c r="O106" s="3">
        <f t="shared" si="40"/>
        <v>-1.2800161646354891</v>
      </c>
      <c r="P106" s="3">
        <f t="shared" si="41"/>
        <v>0.21754747201086699</v>
      </c>
      <c r="Q106" s="3">
        <f t="shared" si="42"/>
        <v>4.8479070223555603</v>
      </c>
      <c r="R106" s="3">
        <f t="shared" si="43"/>
        <v>0.99221628222159508</v>
      </c>
      <c r="S106" s="3">
        <f t="shared" si="44"/>
        <v>-0.92066146326974074</v>
      </c>
      <c r="T106" s="4">
        <f t="shared" si="45"/>
        <v>0.28482313577177976</v>
      </c>
      <c r="U106" s="1">
        <f t="shared" si="46"/>
        <v>0</v>
      </c>
      <c r="V106" s="3">
        <f t="shared" si="47"/>
        <v>-0.28482313577177976</v>
      </c>
      <c r="W106" s="3">
        <f t="shared" si="48"/>
        <v>4.0562109335434846E-2</v>
      </c>
      <c r="X106" s="5" t="str">
        <f t="shared" si="61"/>
        <v>PASS</v>
      </c>
      <c r="Y106" s="3">
        <f t="shared" si="49"/>
        <v>-5.8018164321997023E-2</v>
      </c>
      <c r="Z106" s="3">
        <f t="shared" si="50"/>
        <v>-3.8997997366030719E-2</v>
      </c>
      <c r="AA106" s="3">
        <f t="shared" si="51"/>
        <v>-1.8131107067830539E-3</v>
      </c>
      <c r="AB106" s="3">
        <f t="shared" si="52"/>
        <v>3.6713345931179453</v>
      </c>
      <c r="AC106" s="3">
        <f t="shared" si="53"/>
        <v>3.9264338607000662</v>
      </c>
      <c r="AD106" s="3">
        <f t="shared" si="54"/>
        <v>-1.3775111580505659</v>
      </c>
      <c r="AE106" s="3">
        <f t="shared" si="55"/>
        <v>-3.5275667735122829</v>
      </c>
      <c r="AF106" s="3">
        <f t="shared" si="56"/>
        <v>-3.1461731293833441</v>
      </c>
      <c r="AG106" s="3">
        <f t="shared" si="57"/>
        <v>4.8433742455886026</v>
      </c>
      <c r="AH106" s="3">
        <f t="shared" si="58"/>
        <v>3.9172561470625498</v>
      </c>
      <c r="AI106" s="3">
        <f t="shared" si="59"/>
        <v>3.9024658450503891</v>
      </c>
      <c r="AJ106" s="11">
        <f t="shared" si="60"/>
        <v>-5.9396469618652734</v>
      </c>
    </row>
    <row r="107" spans="1:36" ht="18" customHeight="1" x14ac:dyDescent="0.25">
      <c r="A107" s="18">
        <f t="shared" si="63"/>
        <v>23</v>
      </c>
      <c r="B107" s="2">
        <v>90</v>
      </c>
      <c r="C107" s="2">
        <v>0</v>
      </c>
      <c r="D107" s="2">
        <v>1</v>
      </c>
      <c r="E107" s="2">
        <v>1</v>
      </c>
      <c r="F107" s="3">
        <f t="shared" si="39"/>
        <v>3.6713345931179453</v>
      </c>
      <c r="G107" s="3">
        <f t="shared" si="39"/>
        <v>3.9264338607000662</v>
      </c>
      <c r="H107" s="3">
        <f t="shared" si="39"/>
        <v>-1.3775111580505659</v>
      </c>
      <c r="I107" s="3">
        <f t="shared" si="39"/>
        <v>-3.5275667735122829</v>
      </c>
      <c r="J107" s="3">
        <f t="shared" si="39"/>
        <v>-3.1461731293833441</v>
      </c>
      <c r="K107" s="3">
        <f t="shared" si="39"/>
        <v>4.8433742455886026</v>
      </c>
      <c r="L107" s="3">
        <f t="shared" si="39"/>
        <v>3.9172561470625498</v>
      </c>
      <c r="M107" s="3">
        <f t="shared" si="39"/>
        <v>3.9024658450503891</v>
      </c>
      <c r="N107" s="3">
        <f t="shared" si="39"/>
        <v>-5.9396469618652734</v>
      </c>
      <c r="O107" s="3">
        <f t="shared" si="40"/>
        <v>2.5489227026495005</v>
      </c>
      <c r="P107" s="3">
        <f t="shared" si="41"/>
        <v>0.92750110749868375</v>
      </c>
      <c r="Q107" s="3">
        <f t="shared" si="42"/>
        <v>1.6972011162052585</v>
      </c>
      <c r="R107" s="3">
        <f t="shared" si="43"/>
        <v>0.84516883097671447</v>
      </c>
      <c r="S107" s="3">
        <f t="shared" si="44"/>
        <v>0.99185494907906246</v>
      </c>
      <c r="T107" s="4">
        <f t="shared" si="45"/>
        <v>0.72945415379042389</v>
      </c>
      <c r="U107" s="1">
        <f t="shared" si="46"/>
        <v>1</v>
      </c>
      <c r="V107" s="3">
        <f t="shared" si="47"/>
        <v>0.27054584620957611</v>
      </c>
      <c r="W107" s="3">
        <f t="shared" si="48"/>
        <v>3.6597527450627804E-2</v>
      </c>
      <c r="X107" s="5" t="str">
        <f t="shared" si="61"/>
        <v>PASS</v>
      </c>
      <c r="Y107" s="3">
        <f t="shared" si="49"/>
        <v>5.3392436834639033E-2</v>
      </c>
      <c r="Z107" s="3">
        <f t="shared" si="50"/>
        <v>1.4063956758862699E-2</v>
      </c>
      <c r="AA107" s="3">
        <f t="shared" si="51"/>
        <v>2.7265955303873424E-2</v>
      </c>
      <c r="AB107" s="3">
        <f t="shared" si="52"/>
        <v>3.6713345931179453</v>
      </c>
      <c r="AC107" s="3">
        <f t="shared" si="53"/>
        <v>3.9615937525972229</v>
      </c>
      <c r="AD107" s="3">
        <f t="shared" si="54"/>
        <v>-1.3423512661534092</v>
      </c>
      <c r="AE107" s="3">
        <f t="shared" si="55"/>
        <v>-3.5275667735122829</v>
      </c>
      <c r="AF107" s="3">
        <f t="shared" si="56"/>
        <v>-3.0780082411236607</v>
      </c>
      <c r="AG107" s="3">
        <f t="shared" si="57"/>
        <v>4.9115391338482866</v>
      </c>
      <c r="AH107" s="3">
        <f t="shared" si="58"/>
        <v>4.0410600078030026</v>
      </c>
      <c r="AI107" s="3">
        <f t="shared" si="59"/>
        <v>4.0152799036067135</v>
      </c>
      <c r="AJ107" s="11">
        <f t="shared" si="60"/>
        <v>-5.8061658697786758</v>
      </c>
    </row>
    <row r="108" spans="1:36" ht="18" customHeight="1" x14ac:dyDescent="0.25">
      <c r="A108" s="18">
        <f t="shared" si="63"/>
        <v>23</v>
      </c>
      <c r="B108" s="2">
        <v>91</v>
      </c>
      <c r="C108" s="2">
        <v>1</v>
      </c>
      <c r="D108" s="2">
        <v>0</v>
      </c>
      <c r="E108" s="2">
        <v>1</v>
      </c>
      <c r="F108" s="3">
        <f t="shared" si="39"/>
        <v>3.6713345931179453</v>
      </c>
      <c r="G108" s="3">
        <f t="shared" si="39"/>
        <v>3.9615937525972229</v>
      </c>
      <c r="H108" s="3">
        <f t="shared" si="39"/>
        <v>-1.3423512661534092</v>
      </c>
      <c r="I108" s="3">
        <f t="shared" ref="I108:N150" si="64">AE107</f>
        <v>-3.5275667735122829</v>
      </c>
      <c r="J108" s="3">
        <f t="shared" si="64"/>
        <v>-3.0780082411236607</v>
      </c>
      <c r="K108" s="3">
        <f t="shared" si="64"/>
        <v>4.9115391338482866</v>
      </c>
      <c r="L108" s="3">
        <f t="shared" si="64"/>
        <v>4.0410600078030026</v>
      </c>
      <c r="M108" s="3">
        <f t="shared" si="64"/>
        <v>4.0152799036067135</v>
      </c>
      <c r="N108" s="3">
        <f t="shared" si="64"/>
        <v>-5.8061658697786758</v>
      </c>
      <c r="O108" s="3">
        <f t="shared" si="40"/>
        <v>2.3289833269645364</v>
      </c>
      <c r="P108" s="3">
        <f t="shared" si="41"/>
        <v>0.91124914856053674</v>
      </c>
      <c r="Q108" s="3">
        <f t="shared" si="42"/>
        <v>1.3839723603360037</v>
      </c>
      <c r="R108" s="3">
        <f t="shared" si="43"/>
        <v>0.79962822106032427</v>
      </c>
      <c r="S108" s="3">
        <f t="shared" si="44"/>
        <v>1.0869777479941529</v>
      </c>
      <c r="T108" s="4">
        <f t="shared" si="45"/>
        <v>0.74781218474620659</v>
      </c>
      <c r="U108" s="1">
        <f t="shared" si="46"/>
        <v>1</v>
      </c>
      <c r="V108" s="3">
        <f t="shared" si="47"/>
        <v>0.25218781525379341</v>
      </c>
      <c r="W108" s="3">
        <f t="shared" si="48"/>
        <v>3.1799347081240721E-2</v>
      </c>
      <c r="X108" s="5" t="str">
        <f t="shared" si="61"/>
        <v>PASS</v>
      </c>
      <c r="Y108" s="3">
        <f t="shared" si="49"/>
        <v>4.7559878428651059E-2</v>
      </c>
      <c r="Z108" s="3">
        <f t="shared" si="50"/>
        <v>1.5543388391238609E-2</v>
      </c>
      <c r="AA108" s="3">
        <f t="shared" si="51"/>
        <v>3.0597167788515026E-2</v>
      </c>
      <c r="AB108" s="3">
        <f t="shared" si="52"/>
        <v>3.7101930640960417</v>
      </c>
      <c r="AC108" s="3">
        <f t="shared" si="53"/>
        <v>3.9615937525972229</v>
      </c>
      <c r="AD108" s="3">
        <f t="shared" si="54"/>
        <v>-1.3034927951753126</v>
      </c>
      <c r="AE108" s="3">
        <f t="shared" si="55"/>
        <v>-3.4510738540409953</v>
      </c>
      <c r="AF108" s="3">
        <f t="shared" si="56"/>
        <v>-3.0780082411236607</v>
      </c>
      <c r="AG108" s="3">
        <f t="shared" si="57"/>
        <v>4.9880320533195741</v>
      </c>
      <c r="AH108" s="3">
        <f t="shared" si="58"/>
        <v>4.1494072546123801</v>
      </c>
      <c r="AI108" s="3">
        <f t="shared" si="59"/>
        <v>4.1103554560610824</v>
      </c>
      <c r="AJ108" s="11">
        <f t="shared" si="60"/>
        <v>-5.687266173707048</v>
      </c>
    </row>
    <row r="109" spans="1:36" ht="18" customHeight="1" x14ac:dyDescent="0.25">
      <c r="A109" s="18">
        <f t="shared" si="63"/>
        <v>23</v>
      </c>
      <c r="B109" s="2">
        <v>92</v>
      </c>
      <c r="C109" s="2">
        <v>1</v>
      </c>
      <c r="D109" s="2">
        <v>1</v>
      </c>
      <c r="E109" s="2">
        <v>0</v>
      </c>
      <c r="F109" s="3">
        <f t="shared" ref="F109:K163" si="65">AB108</f>
        <v>3.7101930640960417</v>
      </c>
      <c r="G109" s="3">
        <f t="shared" si="65"/>
        <v>3.9615937525972229</v>
      </c>
      <c r="H109" s="3">
        <f t="shared" si="65"/>
        <v>-1.3034927951753126</v>
      </c>
      <c r="I109" s="3">
        <f t="shared" si="64"/>
        <v>-3.4510738540409953</v>
      </c>
      <c r="J109" s="3">
        <f t="shared" si="64"/>
        <v>-3.0780082411236607</v>
      </c>
      <c r="K109" s="3">
        <f t="shared" si="64"/>
        <v>4.9880320533195741</v>
      </c>
      <c r="L109" s="3">
        <f t="shared" si="64"/>
        <v>4.1494072546123801</v>
      </c>
      <c r="M109" s="3">
        <f t="shared" si="64"/>
        <v>4.1103554560610824</v>
      </c>
      <c r="N109" s="3">
        <f t="shared" si="64"/>
        <v>-5.687266173707048</v>
      </c>
      <c r="O109" s="3">
        <f t="shared" si="40"/>
        <v>6.3682940215179524</v>
      </c>
      <c r="P109" s="3">
        <f t="shared" si="41"/>
        <v>0.9982878538468376</v>
      </c>
      <c r="Q109" s="3">
        <f t="shared" si="42"/>
        <v>-1.5410500418450814</v>
      </c>
      <c r="R109" s="3">
        <f t="shared" si="43"/>
        <v>0.1763826814385358</v>
      </c>
      <c r="S109" s="3">
        <f t="shared" si="44"/>
        <v>-0.81996779375798656</v>
      </c>
      <c r="T109" s="4">
        <f t="shared" si="45"/>
        <v>0.30577049642600451</v>
      </c>
      <c r="U109" s="1">
        <f t="shared" si="46"/>
        <v>0</v>
      </c>
      <c r="V109" s="3">
        <f t="shared" si="47"/>
        <v>-0.30577049642600451</v>
      </c>
      <c r="W109" s="3">
        <f t="shared" si="48"/>
        <v>4.6747798242302623E-2</v>
      </c>
      <c r="X109" s="5" t="str">
        <f t="shared" si="61"/>
        <v>PASS</v>
      </c>
      <c r="Y109" s="3">
        <f t="shared" si="49"/>
        <v>-6.4907401533862097E-2</v>
      </c>
      <c r="Z109" s="3">
        <f t="shared" si="50"/>
        <v>-4.6033808485529474E-4</v>
      </c>
      <c r="AA109" s="3">
        <f t="shared" si="51"/>
        <v>-3.8757433848659366E-2</v>
      </c>
      <c r="AB109" s="3">
        <f t="shared" si="52"/>
        <v>3.7090422188839036</v>
      </c>
      <c r="AC109" s="3">
        <f t="shared" si="53"/>
        <v>3.9604429073850849</v>
      </c>
      <c r="AD109" s="3">
        <f t="shared" si="54"/>
        <v>-1.3046436403874508</v>
      </c>
      <c r="AE109" s="3">
        <f t="shared" si="55"/>
        <v>-3.5479674386626439</v>
      </c>
      <c r="AF109" s="3">
        <f t="shared" si="56"/>
        <v>-3.1749018257453092</v>
      </c>
      <c r="AG109" s="3">
        <f t="shared" si="57"/>
        <v>4.8911384686979256</v>
      </c>
      <c r="AH109" s="3">
        <f t="shared" si="58"/>
        <v>3.9874165781723447</v>
      </c>
      <c r="AI109" s="3">
        <f t="shared" si="59"/>
        <v>4.0817341022417066</v>
      </c>
      <c r="AJ109" s="11">
        <f t="shared" si="60"/>
        <v>-5.849534677541703</v>
      </c>
    </row>
    <row r="110" spans="1:36" ht="18" customHeight="1" x14ac:dyDescent="0.25">
      <c r="A110" s="18">
        <f t="shared" si="63"/>
        <v>24</v>
      </c>
      <c r="B110" s="2">
        <v>93</v>
      </c>
      <c r="C110" s="2">
        <v>0</v>
      </c>
      <c r="D110" s="2">
        <v>0</v>
      </c>
      <c r="E110" s="2">
        <v>0</v>
      </c>
      <c r="F110" s="3">
        <f t="shared" si="65"/>
        <v>3.7090422188839036</v>
      </c>
      <c r="G110" s="3">
        <f t="shared" si="65"/>
        <v>3.9604429073850849</v>
      </c>
      <c r="H110" s="3">
        <f t="shared" si="65"/>
        <v>-1.3046436403874508</v>
      </c>
      <c r="I110" s="3">
        <f t="shared" si="64"/>
        <v>-3.5479674386626439</v>
      </c>
      <c r="J110" s="3">
        <f t="shared" si="64"/>
        <v>-3.1749018257453092</v>
      </c>
      <c r="K110" s="3">
        <f t="shared" si="64"/>
        <v>4.8911384686979256</v>
      </c>
      <c r="L110" s="3">
        <f t="shared" si="64"/>
        <v>3.9874165781723447</v>
      </c>
      <c r="M110" s="3">
        <f t="shared" si="64"/>
        <v>4.0817341022417066</v>
      </c>
      <c r="N110" s="3">
        <f t="shared" si="64"/>
        <v>-5.849534677541703</v>
      </c>
      <c r="O110" s="3">
        <f t="shared" si="40"/>
        <v>-1.3046436403874508</v>
      </c>
      <c r="P110" s="3">
        <f t="shared" si="41"/>
        <v>0.21338453722917067</v>
      </c>
      <c r="Q110" s="3">
        <f t="shared" si="42"/>
        <v>4.8911384686979256</v>
      </c>
      <c r="R110" s="3">
        <f t="shared" si="43"/>
        <v>0.99254315780122371</v>
      </c>
      <c r="S110" s="3">
        <f t="shared" si="44"/>
        <v>-0.94738438112454748</v>
      </c>
      <c r="T110" s="4">
        <f t="shared" si="45"/>
        <v>0.27941114816436186</v>
      </c>
      <c r="U110" s="1">
        <f t="shared" si="46"/>
        <v>0</v>
      </c>
      <c r="V110" s="3">
        <f t="shared" si="47"/>
        <v>-0.27941114816436186</v>
      </c>
      <c r="W110" s="3">
        <f t="shared" si="48"/>
        <v>3.9035294859263485E-2</v>
      </c>
      <c r="X110" s="5" t="str">
        <f t="shared" si="61"/>
        <v>PASS</v>
      </c>
      <c r="Y110" s="3">
        <f t="shared" si="49"/>
        <v>-5.6256796607404527E-2</v>
      </c>
      <c r="Z110" s="3">
        <f t="shared" si="50"/>
        <v>-3.7652345362760443E-2</v>
      </c>
      <c r="AA110" s="3">
        <f t="shared" si="51"/>
        <v>-1.699511318395379E-3</v>
      </c>
      <c r="AB110" s="3">
        <f t="shared" si="52"/>
        <v>3.7090422188839036</v>
      </c>
      <c r="AC110" s="3">
        <f t="shared" si="53"/>
        <v>3.9604429073850849</v>
      </c>
      <c r="AD110" s="3">
        <f t="shared" si="54"/>
        <v>-1.398774503794352</v>
      </c>
      <c r="AE110" s="3">
        <f t="shared" si="55"/>
        <v>-3.5479674386626439</v>
      </c>
      <c r="AF110" s="3">
        <f t="shared" si="56"/>
        <v>-3.1749018257453092</v>
      </c>
      <c r="AG110" s="3">
        <f t="shared" si="57"/>
        <v>4.8868896904019374</v>
      </c>
      <c r="AH110" s="3">
        <f t="shared" si="58"/>
        <v>3.9574057518971784</v>
      </c>
      <c r="AI110" s="3">
        <f t="shared" si="59"/>
        <v>3.9421408558604707</v>
      </c>
      <c r="AJ110" s="11">
        <f t="shared" si="60"/>
        <v>-5.9901766690602143</v>
      </c>
    </row>
    <row r="111" spans="1:36" ht="18" customHeight="1" x14ac:dyDescent="0.25">
      <c r="A111" s="18">
        <f t="shared" si="63"/>
        <v>24</v>
      </c>
      <c r="B111" s="2">
        <v>94</v>
      </c>
      <c r="C111" s="2">
        <v>0</v>
      </c>
      <c r="D111" s="2">
        <v>1</v>
      </c>
      <c r="E111" s="2">
        <v>1</v>
      </c>
      <c r="F111" s="3">
        <f t="shared" si="65"/>
        <v>3.7090422188839036</v>
      </c>
      <c r="G111" s="3">
        <f t="shared" si="65"/>
        <v>3.9604429073850849</v>
      </c>
      <c r="H111" s="3">
        <f t="shared" si="65"/>
        <v>-1.398774503794352</v>
      </c>
      <c r="I111" s="3">
        <f t="shared" si="64"/>
        <v>-3.5479674386626439</v>
      </c>
      <c r="J111" s="3">
        <f t="shared" si="64"/>
        <v>-3.1749018257453092</v>
      </c>
      <c r="K111" s="3">
        <f t="shared" si="64"/>
        <v>4.8868896904019374</v>
      </c>
      <c r="L111" s="3">
        <f t="shared" si="64"/>
        <v>3.9574057518971784</v>
      </c>
      <c r="M111" s="3">
        <f t="shared" si="64"/>
        <v>3.9421408558604707</v>
      </c>
      <c r="N111" s="3">
        <f t="shared" si="64"/>
        <v>-5.9901766690602143</v>
      </c>
      <c r="O111" s="3">
        <f t="shared" si="40"/>
        <v>2.5616684035907329</v>
      </c>
      <c r="P111" s="3">
        <f t="shared" si="41"/>
        <v>0.92835350805649874</v>
      </c>
      <c r="Q111" s="3">
        <f t="shared" si="42"/>
        <v>1.7119878646566282</v>
      </c>
      <c r="R111" s="3">
        <f t="shared" si="43"/>
        <v>0.84709394167875685</v>
      </c>
      <c r="S111" s="3">
        <f t="shared" si="44"/>
        <v>1.0230584797602118</v>
      </c>
      <c r="T111" s="4">
        <f t="shared" si="45"/>
        <v>0.73556792594661846</v>
      </c>
      <c r="U111" s="1">
        <f t="shared" si="46"/>
        <v>1</v>
      </c>
      <c r="V111" s="3">
        <f t="shared" si="47"/>
        <v>0.26443207405338154</v>
      </c>
      <c r="W111" s="3">
        <f t="shared" si="48"/>
        <v>3.4962160894086526E-2</v>
      </c>
      <c r="X111" s="5" t="str">
        <f t="shared" si="61"/>
        <v>PASS</v>
      </c>
      <c r="Y111" s="3">
        <f t="shared" si="49"/>
        <v>5.1434088350950397E-2</v>
      </c>
      <c r="Z111" s="3">
        <f t="shared" si="50"/>
        <v>1.3538481030314903E-2</v>
      </c>
      <c r="AA111" s="3">
        <f t="shared" si="51"/>
        <v>2.6262704865688633E-2</v>
      </c>
      <c r="AB111" s="3">
        <f t="shared" si="52"/>
        <v>3.7090422188839036</v>
      </c>
      <c r="AC111" s="3">
        <f t="shared" si="53"/>
        <v>3.9942891099608722</v>
      </c>
      <c r="AD111" s="3">
        <f t="shared" si="54"/>
        <v>-1.3649283012185647</v>
      </c>
      <c r="AE111" s="3">
        <f t="shared" si="55"/>
        <v>-3.5479674386626439</v>
      </c>
      <c r="AF111" s="3">
        <f t="shared" si="56"/>
        <v>-3.1092450635810875</v>
      </c>
      <c r="AG111" s="3">
        <f t="shared" si="57"/>
        <v>4.9525464525661587</v>
      </c>
      <c r="AH111" s="3">
        <f t="shared" si="58"/>
        <v>4.0767782927829099</v>
      </c>
      <c r="AI111" s="3">
        <f t="shared" si="59"/>
        <v>4.051064617455121</v>
      </c>
      <c r="AJ111" s="11">
        <f t="shared" si="60"/>
        <v>-5.8615914481828382</v>
      </c>
    </row>
    <row r="112" spans="1:36" ht="18" customHeight="1" x14ac:dyDescent="0.25">
      <c r="A112" s="18">
        <f t="shared" si="63"/>
        <v>24</v>
      </c>
      <c r="B112" s="2">
        <v>95</v>
      </c>
      <c r="C112" s="2">
        <v>1</v>
      </c>
      <c r="D112" s="2">
        <v>0</v>
      </c>
      <c r="E112" s="2">
        <v>1</v>
      </c>
      <c r="F112" s="3">
        <f t="shared" si="65"/>
        <v>3.7090422188839036</v>
      </c>
      <c r="G112" s="3">
        <f t="shared" si="65"/>
        <v>3.9942891099608722</v>
      </c>
      <c r="H112" s="3">
        <f t="shared" si="65"/>
        <v>-1.3649283012185647</v>
      </c>
      <c r="I112" s="3">
        <f t="shared" si="64"/>
        <v>-3.5479674386626439</v>
      </c>
      <c r="J112" s="3">
        <f t="shared" si="64"/>
        <v>-3.1092450635810875</v>
      </c>
      <c r="K112" s="3">
        <f t="shared" si="64"/>
        <v>4.9525464525661587</v>
      </c>
      <c r="L112" s="3">
        <f t="shared" si="64"/>
        <v>4.0767782927829099</v>
      </c>
      <c r="M112" s="3">
        <f t="shared" si="64"/>
        <v>4.051064617455121</v>
      </c>
      <c r="N112" s="3">
        <f t="shared" si="64"/>
        <v>-5.8615914481828382</v>
      </c>
      <c r="O112" s="3">
        <f t="shared" si="40"/>
        <v>2.3441139176653389</v>
      </c>
      <c r="P112" s="3">
        <f t="shared" si="41"/>
        <v>0.91246523182950079</v>
      </c>
      <c r="Q112" s="3">
        <f t="shared" si="42"/>
        <v>1.4045790139035148</v>
      </c>
      <c r="R112" s="3">
        <f t="shared" si="43"/>
        <v>0.80290950360603086</v>
      </c>
      <c r="S112" s="3">
        <f t="shared" si="44"/>
        <v>1.1109652829356422</v>
      </c>
      <c r="T112" s="4">
        <f t="shared" si="45"/>
        <v>0.7523090262158979</v>
      </c>
      <c r="U112" s="1">
        <f t="shared" si="46"/>
        <v>1</v>
      </c>
      <c r="V112" s="3">
        <f t="shared" si="47"/>
        <v>0.2476909737841021</v>
      </c>
      <c r="W112" s="3">
        <f t="shared" si="48"/>
        <v>3.0675409247058378E-2</v>
      </c>
      <c r="X112" s="5" t="str">
        <f t="shared" si="61"/>
        <v>PASS</v>
      </c>
      <c r="Y112" s="3">
        <f t="shared" si="49"/>
        <v>4.6154774518857272E-2</v>
      </c>
      <c r="Z112" s="3">
        <f t="shared" si="50"/>
        <v>1.5029019179528395E-2</v>
      </c>
      <c r="AA112" s="3">
        <f t="shared" si="51"/>
        <v>2.9588168683357077E-2</v>
      </c>
      <c r="AB112" s="3">
        <f t="shared" si="52"/>
        <v>3.7466147668327245</v>
      </c>
      <c r="AC112" s="3">
        <f t="shared" si="53"/>
        <v>3.9942891099608722</v>
      </c>
      <c r="AD112" s="3">
        <f t="shared" si="54"/>
        <v>-1.3273557532697438</v>
      </c>
      <c r="AE112" s="3">
        <f t="shared" si="55"/>
        <v>-3.4739970169542511</v>
      </c>
      <c r="AF112" s="3">
        <f t="shared" si="56"/>
        <v>-3.1092450635810875</v>
      </c>
      <c r="AG112" s="3">
        <f t="shared" si="57"/>
        <v>5.0265168742745514</v>
      </c>
      <c r="AH112" s="3">
        <f t="shared" si="58"/>
        <v>4.1820648603613781</v>
      </c>
      <c r="AI112" s="3">
        <f t="shared" si="59"/>
        <v>4.1437098852000807</v>
      </c>
      <c r="AJ112" s="11">
        <f t="shared" si="60"/>
        <v>-5.7462045118856953</v>
      </c>
    </row>
    <row r="113" spans="1:36" ht="18" customHeight="1" x14ac:dyDescent="0.25">
      <c r="A113" s="18">
        <f t="shared" si="63"/>
        <v>24</v>
      </c>
      <c r="B113" s="2">
        <v>96</v>
      </c>
      <c r="C113" s="2">
        <v>1</v>
      </c>
      <c r="D113" s="2">
        <v>1</v>
      </c>
      <c r="E113" s="2">
        <v>0</v>
      </c>
      <c r="F113" s="3">
        <f t="shared" si="65"/>
        <v>3.7466147668327245</v>
      </c>
      <c r="G113" s="3">
        <f t="shared" si="65"/>
        <v>3.9942891099608722</v>
      </c>
      <c r="H113" s="3">
        <f t="shared" si="65"/>
        <v>-1.3273557532697438</v>
      </c>
      <c r="I113" s="3">
        <f t="shared" si="64"/>
        <v>-3.4739970169542511</v>
      </c>
      <c r="J113" s="3">
        <f t="shared" si="64"/>
        <v>-3.1092450635810875</v>
      </c>
      <c r="K113" s="3">
        <f t="shared" si="64"/>
        <v>5.0265168742745514</v>
      </c>
      <c r="L113" s="3">
        <f t="shared" si="64"/>
        <v>4.1820648603613781</v>
      </c>
      <c r="M113" s="3">
        <f t="shared" si="64"/>
        <v>4.1437098852000807</v>
      </c>
      <c r="N113" s="3">
        <f t="shared" si="64"/>
        <v>-5.7462045118856953</v>
      </c>
      <c r="O113" s="3">
        <f t="shared" si="40"/>
        <v>6.413548123523853</v>
      </c>
      <c r="P113" s="3">
        <f t="shared" si="41"/>
        <v>0.9983634844786673</v>
      </c>
      <c r="Q113" s="3">
        <f t="shared" si="42"/>
        <v>-1.5567252062607873</v>
      </c>
      <c r="R113" s="3">
        <f t="shared" si="43"/>
        <v>0.17411706092811199</v>
      </c>
      <c r="S113" s="3">
        <f t="shared" si="44"/>
        <v>-0.84949307902971594</v>
      </c>
      <c r="T113" s="4">
        <f t="shared" si="45"/>
        <v>0.29953920657858057</v>
      </c>
      <c r="U113" s="1">
        <f t="shared" si="46"/>
        <v>0</v>
      </c>
      <c r="V113" s="3">
        <f t="shared" si="47"/>
        <v>-0.29953920657858057</v>
      </c>
      <c r="W113" s="3">
        <f t="shared" si="48"/>
        <v>4.4861868138862782E-2</v>
      </c>
      <c r="X113" s="5" t="str">
        <f t="shared" si="61"/>
        <v>PASS</v>
      </c>
      <c r="Y113" s="3">
        <f t="shared" si="49"/>
        <v>-6.2847959501829836E-2</v>
      </c>
      <c r="Z113" s="3">
        <f t="shared" si="50"/>
        <v>-4.2942839995634304E-4</v>
      </c>
      <c r="AA113" s="3">
        <f t="shared" si="51"/>
        <v>-3.7449010386378608E-2</v>
      </c>
      <c r="AB113" s="3">
        <f t="shared" si="52"/>
        <v>3.7455411958328337</v>
      </c>
      <c r="AC113" s="3">
        <f t="shared" si="53"/>
        <v>3.9932155389609814</v>
      </c>
      <c r="AD113" s="3">
        <f t="shared" si="54"/>
        <v>-1.3284293242696346</v>
      </c>
      <c r="AE113" s="3">
        <f t="shared" si="55"/>
        <v>-3.5676195429201978</v>
      </c>
      <c r="AF113" s="3">
        <f t="shared" si="56"/>
        <v>-3.2028675895470342</v>
      </c>
      <c r="AG113" s="3">
        <f t="shared" si="57"/>
        <v>4.9328943483086052</v>
      </c>
      <c r="AH113" s="3">
        <f t="shared" si="58"/>
        <v>4.0252020907598256</v>
      </c>
      <c r="AI113" s="3">
        <f t="shared" si="59"/>
        <v>4.1163526302156113</v>
      </c>
      <c r="AJ113" s="11">
        <f t="shared" si="60"/>
        <v>-5.9033244106402698</v>
      </c>
    </row>
    <row r="114" spans="1:36" ht="18" customHeight="1" x14ac:dyDescent="0.25">
      <c r="A114" s="18">
        <f t="shared" si="63"/>
        <v>25</v>
      </c>
      <c r="B114" s="2">
        <v>97</v>
      </c>
      <c r="C114" s="2">
        <v>0</v>
      </c>
      <c r="D114" s="2">
        <v>0</v>
      </c>
      <c r="E114" s="2">
        <v>0</v>
      </c>
      <c r="F114" s="3">
        <f t="shared" si="65"/>
        <v>3.7455411958328337</v>
      </c>
      <c r="G114" s="3">
        <f t="shared" si="65"/>
        <v>3.9932155389609814</v>
      </c>
      <c r="H114" s="3">
        <f t="shared" si="65"/>
        <v>-1.3284293242696346</v>
      </c>
      <c r="I114" s="3">
        <f t="shared" si="64"/>
        <v>-3.5676195429201978</v>
      </c>
      <c r="J114" s="3">
        <f t="shared" si="64"/>
        <v>-3.2028675895470342</v>
      </c>
      <c r="K114" s="3">
        <f t="shared" si="64"/>
        <v>4.9328943483086052</v>
      </c>
      <c r="L114" s="3">
        <f t="shared" si="64"/>
        <v>4.0252020907598256</v>
      </c>
      <c r="M114" s="3">
        <f t="shared" si="64"/>
        <v>4.1163526302156113</v>
      </c>
      <c r="N114" s="3">
        <f t="shared" si="64"/>
        <v>-5.9033244106402698</v>
      </c>
      <c r="O114" s="3">
        <f t="shared" si="40"/>
        <v>-1.3284293242696346</v>
      </c>
      <c r="P114" s="3">
        <f t="shared" si="41"/>
        <v>0.2094192920806846</v>
      </c>
      <c r="Q114" s="3">
        <f t="shared" si="42"/>
        <v>4.9328943483086052</v>
      </c>
      <c r="R114" s="3">
        <f t="shared" si="43"/>
        <v>0.99284593197402615</v>
      </c>
      <c r="S114" s="3">
        <f t="shared" si="44"/>
        <v>-0.97346547483150303</v>
      </c>
      <c r="T114" s="4">
        <f t="shared" si="45"/>
        <v>0.27419029871780687</v>
      </c>
      <c r="U114" s="1">
        <f t="shared" ref="U114:U145" si="66">IF(T114&gt;=0.5, 1, 0)</f>
        <v>0</v>
      </c>
      <c r="V114" s="3">
        <f t="shared" si="47"/>
        <v>-0.27419029871780687</v>
      </c>
      <c r="W114" s="3">
        <f t="shared" ref="W114:W145" si="67">0.5*(V114^2)</f>
        <v>3.7590159955480082E-2</v>
      </c>
      <c r="X114" s="5" t="str">
        <f t="shared" si="61"/>
        <v>PASS</v>
      </c>
      <c r="Y114" s="3">
        <f t="shared" ref="Y114:Y145" si="68">V114*T114*(1-T114)</f>
        <v>-5.4566605536873716E-2</v>
      </c>
      <c r="Z114" s="3">
        <f t="shared" ref="Z114:Z145" si="69">Y114*L114*P114*(1-P114)</f>
        <v>-3.6364492187064744E-2</v>
      </c>
      <c r="AA114" s="3">
        <f t="shared" ref="AA114:AA145" si="70">Y114*M114*R114*(1-R114)</f>
        <v>-1.595417810837052E-3</v>
      </c>
      <c r="AB114" s="3">
        <f t="shared" ref="AB114:AB145" si="71">F114+$D$5*Z114*C114</f>
        <v>3.7455411958328337</v>
      </c>
      <c r="AC114" s="3">
        <f t="shared" ref="AC114:AC145" si="72">G114+$D$5*Z114*D114</f>
        <v>3.9932155389609814</v>
      </c>
      <c r="AD114" s="3">
        <f t="shared" ref="AD114:AD145" si="73">H114+$D$5*Z114</f>
        <v>-1.4193405547372964</v>
      </c>
      <c r="AE114" s="3">
        <f t="shared" ref="AE114:AE145" si="74">I114+$D$5*AA114*C114</f>
        <v>-3.5676195429201978</v>
      </c>
      <c r="AF114" s="3">
        <f t="shared" ref="AF114:AF145" si="75">J114+$D$5*AA114*D114</f>
        <v>-3.2028675895470342</v>
      </c>
      <c r="AG114" s="3">
        <f t="shared" ref="AG114:AG145" si="76">K114+$D$5*AA114</f>
        <v>4.9289058037815128</v>
      </c>
      <c r="AH114" s="3">
        <f t="shared" ref="AH114:AH145" si="77">L114+$D$5*Y114*P114</f>
        <v>3.9966338410028803</v>
      </c>
      <c r="AI114" s="3">
        <f t="shared" ref="AI114:AI145" si="78">M114+$D$5*Y114*R114</f>
        <v>3.9809120493933201</v>
      </c>
      <c r="AJ114" s="11">
        <f t="shared" ref="AJ114:AJ145" si="79">N114+$D$5*Y114</f>
        <v>-6.0397409244824543</v>
      </c>
    </row>
    <row r="115" spans="1:36" ht="18" customHeight="1" x14ac:dyDescent="0.25">
      <c r="A115" s="18">
        <f t="shared" si="63"/>
        <v>25</v>
      </c>
      <c r="B115" s="2">
        <v>98</v>
      </c>
      <c r="C115" s="2">
        <v>0</v>
      </c>
      <c r="D115" s="2">
        <v>1</v>
      </c>
      <c r="E115" s="2">
        <v>1</v>
      </c>
      <c r="F115" s="3">
        <f t="shared" si="65"/>
        <v>3.7455411958328337</v>
      </c>
      <c r="G115" s="3">
        <f t="shared" si="65"/>
        <v>3.9932155389609814</v>
      </c>
      <c r="H115" s="3">
        <f t="shared" si="65"/>
        <v>-1.4193405547372964</v>
      </c>
      <c r="I115" s="3">
        <f t="shared" si="64"/>
        <v>-3.5676195429201978</v>
      </c>
      <c r="J115" s="3">
        <f t="shared" si="64"/>
        <v>-3.2028675895470342</v>
      </c>
      <c r="K115" s="3">
        <f t="shared" si="64"/>
        <v>4.9289058037815128</v>
      </c>
      <c r="L115" s="3">
        <f t="shared" si="64"/>
        <v>3.9966338410028803</v>
      </c>
      <c r="M115" s="3">
        <f t="shared" si="64"/>
        <v>3.9809120493933201</v>
      </c>
      <c r="N115" s="3">
        <f t="shared" si="64"/>
        <v>-6.0397409244824543</v>
      </c>
      <c r="O115" s="3">
        <f t="shared" si="40"/>
        <v>2.5738749842236848</v>
      </c>
      <c r="P115" s="3">
        <f t="shared" si="41"/>
        <v>0.92916117457596104</v>
      </c>
      <c r="Q115" s="3">
        <f t="shared" si="42"/>
        <v>1.7260382142344786</v>
      </c>
      <c r="R115" s="3">
        <f t="shared" si="43"/>
        <v>0.84890496262289672</v>
      </c>
      <c r="S115" s="3">
        <f t="shared" si="44"/>
        <v>1.0531920640690924</v>
      </c>
      <c r="T115" s="4">
        <f t="shared" si="45"/>
        <v>0.74138739183607194</v>
      </c>
      <c r="U115" s="1">
        <f t="shared" si="66"/>
        <v>1</v>
      </c>
      <c r="V115" s="3">
        <f t="shared" si="47"/>
        <v>0.25861260816392806</v>
      </c>
      <c r="W115" s="3">
        <f t="shared" si="67"/>
        <v>3.3440240550674696E-2</v>
      </c>
      <c r="X115" s="5" t="str">
        <f t="shared" si="61"/>
        <v>PASS</v>
      </c>
      <c r="Y115" s="3">
        <f t="shared" si="68"/>
        <v>4.9584345448471123E-2</v>
      </c>
      <c r="Z115" s="3">
        <f t="shared" si="69"/>
        <v>1.304371652490758E-2</v>
      </c>
      <c r="AA115" s="3">
        <f t="shared" si="70"/>
        <v>2.5318410688351133E-2</v>
      </c>
      <c r="AB115" s="3">
        <f t="shared" si="71"/>
        <v>3.7455411958328337</v>
      </c>
      <c r="AC115" s="3">
        <f t="shared" si="72"/>
        <v>4.0258248302732502</v>
      </c>
      <c r="AD115" s="3">
        <f t="shared" si="73"/>
        <v>-1.3867312634250275</v>
      </c>
      <c r="AE115" s="3">
        <f t="shared" si="74"/>
        <v>-3.5676195429201978</v>
      </c>
      <c r="AF115" s="3">
        <f t="shared" si="75"/>
        <v>-3.1395715628261565</v>
      </c>
      <c r="AG115" s="3">
        <f t="shared" si="76"/>
        <v>4.992201830502391</v>
      </c>
      <c r="AH115" s="3">
        <f t="shared" si="77"/>
        <v>4.1118134626465848</v>
      </c>
      <c r="AI115" s="3">
        <f t="shared" si="78"/>
        <v>4.0861430416923579</v>
      </c>
      <c r="AJ115" s="11">
        <f t="shared" si="79"/>
        <v>-5.9157800608612767</v>
      </c>
    </row>
    <row r="116" spans="1:36" ht="18" customHeight="1" x14ac:dyDescent="0.25">
      <c r="A116" s="18">
        <f t="shared" si="63"/>
        <v>25</v>
      </c>
      <c r="B116" s="2">
        <v>99</v>
      </c>
      <c r="C116" s="2">
        <v>1</v>
      </c>
      <c r="D116" s="2">
        <v>0</v>
      </c>
      <c r="E116" s="2">
        <v>1</v>
      </c>
      <c r="F116" s="3">
        <f t="shared" si="65"/>
        <v>3.7455411958328337</v>
      </c>
      <c r="G116" s="3">
        <f t="shared" si="65"/>
        <v>4.0258248302732502</v>
      </c>
      <c r="H116" s="3">
        <f t="shared" si="65"/>
        <v>-1.3867312634250275</v>
      </c>
      <c r="I116" s="3">
        <f t="shared" si="64"/>
        <v>-3.5676195429201978</v>
      </c>
      <c r="J116" s="3">
        <f t="shared" si="64"/>
        <v>-3.1395715628261565</v>
      </c>
      <c r="K116" s="3">
        <f t="shared" si="64"/>
        <v>4.992201830502391</v>
      </c>
      <c r="L116" s="3">
        <f t="shared" si="64"/>
        <v>4.1118134626465848</v>
      </c>
      <c r="M116" s="3">
        <f t="shared" si="64"/>
        <v>4.0861430416923579</v>
      </c>
      <c r="N116" s="3">
        <f t="shared" si="64"/>
        <v>-5.9157800608612767</v>
      </c>
      <c r="O116" s="3">
        <f t="shared" si="40"/>
        <v>2.358809932407806</v>
      </c>
      <c r="P116" s="3">
        <f t="shared" si="41"/>
        <v>0.91363194513370105</v>
      </c>
      <c r="Q116" s="3">
        <f t="shared" si="42"/>
        <v>1.4245822875821932</v>
      </c>
      <c r="R116" s="3">
        <f t="shared" si="43"/>
        <v>0.80605576959804903</v>
      </c>
      <c r="S116" s="3">
        <f t="shared" si="44"/>
        <v>1.1345632452025072</v>
      </c>
      <c r="T116" s="4">
        <f t="shared" si="45"/>
        <v>0.75668004637084485</v>
      </c>
      <c r="U116" s="1">
        <f t="shared" si="66"/>
        <v>1</v>
      </c>
      <c r="V116" s="3">
        <f t="shared" si="47"/>
        <v>0.24331995362915515</v>
      </c>
      <c r="W116" s="3">
        <f t="shared" si="67"/>
        <v>2.9602299917047107E-2</v>
      </c>
      <c r="X116" s="5" t="str">
        <f t="shared" si="61"/>
        <v>PASS</v>
      </c>
      <c r="Y116" s="3">
        <f t="shared" si="68"/>
        <v>4.4798939347829726E-2</v>
      </c>
      <c r="Z116" s="3">
        <f t="shared" si="69"/>
        <v>1.4535351918089865E-2</v>
      </c>
      <c r="AA116" s="3">
        <f t="shared" si="70"/>
        <v>2.8616943949526626E-2</v>
      </c>
      <c r="AB116" s="3">
        <f t="shared" si="71"/>
        <v>3.7818795756280585</v>
      </c>
      <c r="AC116" s="3">
        <f t="shared" si="72"/>
        <v>4.0258248302732502</v>
      </c>
      <c r="AD116" s="3">
        <f t="shared" si="73"/>
        <v>-1.3503928836298029</v>
      </c>
      <c r="AE116" s="3">
        <f t="shared" si="74"/>
        <v>-3.4960771830463813</v>
      </c>
      <c r="AF116" s="3">
        <f t="shared" si="75"/>
        <v>-3.1395715628261565</v>
      </c>
      <c r="AG116" s="3">
        <f t="shared" si="76"/>
        <v>5.0637441903762079</v>
      </c>
      <c r="AH116" s="3">
        <f t="shared" si="77"/>
        <v>4.2141378178872957</v>
      </c>
      <c r="AI116" s="3">
        <f t="shared" si="78"/>
        <v>4.1764191505253363</v>
      </c>
      <c r="AJ116" s="11">
        <f t="shared" si="79"/>
        <v>-5.8037827124917021</v>
      </c>
    </row>
    <row r="117" spans="1:36" ht="18" customHeight="1" x14ac:dyDescent="0.25">
      <c r="A117" s="18">
        <f t="shared" si="63"/>
        <v>25</v>
      </c>
      <c r="B117" s="2">
        <v>100</v>
      </c>
      <c r="C117" s="2">
        <v>1</v>
      </c>
      <c r="D117" s="2">
        <v>1</v>
      </c>
      <c r="E117" s="2">
        <v>0</v>
      </c>
      <c r="F117" s="3">
        <f t="shared" si="65"/>
        <v>3.7818795756280585</v>
      </c>
      <c r="G117" s="3">
        <f t="shared" si="65"/>
        <v>4.0258248302732502</v>
      </c>
      <c r="H117" s="3">
        <f t="shared" si="65"/>
        <v>-1.3503928836298029</v>
      </c>
      <c r="I117" s="3">
        <f t="shared" si="64"/>
        <v>-3.4960771830463813</v>
      </c>
      <c r="J117" s="3">
        <f t="shared" si="64"/>
        <v>-3.1395715628261565</v>
      </c>
      <c r="K117" s="3">
        <f t="shared" si="64"/>
        <v>5.0637441903762079</v>
      </c>
      <c r="L117" s="3">
        <f t="shared" si="64"/>
        <v>4.2141378178872957</v>
      </c>
      <c r="M117" s="3">
        <f t="shared" si="64"/>
        <v>4.1764191505253363</v>
      </c>
      <c r="N117" s="3">
        <f t="shared" si="64"/>
        <v>-5.8037827124917021</v>
      </c>
      <c r="O117" s="3">
        <f t="shared" si="40"/>
        <v>6.457311522271505</v>
      </c>
      <c r="P117" s="3">
        <f t="shared" si="41"/>
        <v>0.99843344964151193</v>
      </c>
      <c r="Q117" s="3">
        <f t="shared" si="42"/>
        <v>-1.5719045554963298</v>
      </c>
      <c r="R117" s="3">
        <f t="shared" si="43"/>
        <v>0.17194505176486891</v>
      </c>
      <c r="S117" s="3">
        <f t="shared" si="44"/>
        <v>-0.87813194668486716</v>
      </c>
      <c r="T117" s="4">
        <f t="shared" si="45"/>
        <v>0.29356503495494285</v>
      </c>
      <c r="U117" s="1">
        <f t="shared" si="66"/>
        <v>0</v>
      </c>
      <c r="V117" s="3">
        <f t="shared" si="47"/>
        <v>-0.29356503495494285</v>
      </c>
      <c r="W117" s="3">
        <f t="shared" si="67"/>
        <v>4.3090214874048412E-2</v>
      </c>
      <c r="X117" s="5" t="str">
        <f t="shared" si="61"/>
        <v>PASS</v>
      </c>
      <c r="Y117" s="3">
        <f t="shared" si="68"/>
        <v>-6.0880868876664787E-2</v>
      </c>
      <c r="Z117" s="3">
        <f t="shared" si="69"/>
        <v>-4.0128512291942093E-4</v>
      </c>
      <c r="AA117" s="3">
        <f t="shared" si="70"/>
        <v>-3.6202099643700608E-2</v>
      </c>
      <c r="AB117" s="3">
        <f t="shared" si="71"/>
        <v>3.7808763628207598</v>
      </c>
      <c r="AC117" s="3">
        <f t="shared" si="72"/>
        <v>4.0248216174659515</v>
      </c>
      <c r="AD117" s="3">
        <f t="shared" si="73"/>
        <v>-1.3513960964371015</v>
      </c>
      <c r="AE117" s="3">
        <f t="shared" si="74"/>
        <v>-3.586582432155633</v>
      </c>
      <c r="AF117" s="3">
        <f t="shared" si="75"/>
        <v>-3.2300768119354082</v>
      </c>
      <c r="AG117" s="3">
        <f t="shared" si="76"/>
        <v>4.9732389412669562</v>
      </c>
      <c r="AH117" s="3">
        <f t="shared" si="77"/>
        <v>4.0621740780630429</v>
      </c>
      <c r="AI117" s="3">
        <f t="shared" si="78"/>
        <v>4.1502487401491157</v>
      </c>
      <c r="AJ117" s="11">
        <f t="shared" si="79"/>
        <v>-5.9559848846833638</v>
      </c>
    </row>
    <row r="118" spans="1:36" ht="18" customHeight="1" x14ac:dyDescent="0.25">
      <c r="A118" s="18">
        <f t="shared" si="63"/>
        <v>26</v>
      </c>
      <c r="B118" s="2">
        <v>101</v>
      </c>
      <c r="C118" s="2">
        <v>0</v>
      </c>
      <c r="D118" s="2">
        <v>0</v>
      </c>
      <c r="E118" s="2">
        <v>0</v>
      </c>
      <c r="F118" s="3">
        <f t="shared" si="65"/>
        <v>3.7808763628207598</v>
      </c>
      <c r="G118" s="3">
        <f t="shared" si="65"/>
        <v>4.0248216174659515</v>
      </c>
      <c r="H118" s="3">
        <f t="shared" si="65"/>
        <v>-1.3513960964371015</v>
      </c>
      <c r="I118" s="3">
        <f t="shared" si="64"/>
        <v>-3.586582432155633</v>
      </c>
      <c r="J118" s="3">
        <f t="shared" si="64"/>
        <v>-3.2300768119354082</v>
      </c>
      <c r="K118" s="3">
        <f t="shared" si="64"/>
        <v>4.9732389412669562</v>
      </c>
      <c r="L118" s="3">
        <f t="shared" si="64"/>
        <v>4.0621740780630429</v>
      </c>
      <c r="M118" s="3">
        <f t="shared" si="64"/>
        <v>4.1502487401491157</v>
      </c>
      <c r="N118" s="3">
        <f t="shared" si="64"/>
        <v>-5.9559848846833638</v>
      </c>
      <c r="O118" s="3">
        <f t="shared" si="40"/>
        <v>-1.3513960964371015</v>
      </c>
      <c r="P118" s="3">
        <f t="shared" si="41"/>
        <v>0.20564222084261102</v>
      </c>
      <c r="Q118" s="3">
        <f t="shared" si="42"/>
        <v>4.9732389412669562</v>
      </c>
      <c r="R118" s="3">
        <f t="shared" si="43"/>
        <v>0.9931268708708908</v>
      </c>
      <c r="S118" s="3">
        <f t="shared" si="44"/>
        <v>-0.99890684118104556</v>
      </c>
      <c r="T118" s="4">
        <f t="shared" si="45"/>
        <v>0.26915640371836308</v>
      </c>
      <c r="U118" s="1">
        <f t="shared" si="66"/>
        <v>0</v>
      </c>
      <c r="V118" s="3">
        <f t="shared" si="47"/>
        <v>-0.26915640371836308</v>
      </c>
      <c r="W118" s="3">
        <f t="shared" si="67"/>
        <v>3.6222584831301224E-2</v>
      </c>
      <c r="X118" s="5" t="str">
        <f t="shared" si="61"/>
        <v>PASS</v>
      </c>
      <c r="Y118" s="3">
        <f t="shared" si="68"/>
        <v>-5.2946088329449713E-2</v>
      </c>
      <c r="Z118" s="3">
        <f t="shared" si="69"/>
        <v>-3.5133454074039228E-2</v>
      </c>
      <c r="AA118" s="3">
        <f t="shared" si="70"/>
        <v>-1.4999170511471927E-3</v>
      </c>
      <c r="AB118" s="3">
        <f t="shared" si="71"/>
        <v>3.7808763628207598</v>
      </c>
      <c r="AC118" s="3">
        <f t="shared" si="72"/>
        <v>4.0248216174659515</v>
      </c>
      <c r="AD118" s="3">
        <f t="shared" si="73"/>
        <v>-1.4392297316221996</v>
      </c>
      <c r="AE118" s="3">
        <f t="shared" si="74"/>
        <v>-3.586582432155633</v>
      </c>
      <c r="AF118" s="3">
        <f t="shared" si="75"/>
        <v>-3.2300768119354082</v>
      </c>
      <c r="AG118" s="3">
        <f t="shared" si="76"/>
        <v>4.969489148639088</v>
      </c>
      <c r="AH118" s="3">
        <f t="shared" si="77"/>
        <v>4.0349542000905503</v>
      </c>
      <c r="AI118" s="3">
        <f t="shared" si="78"/>
        <v>4.0187932825804156</v>
      </c>
      <c r="AJ118" s="11">
        <f t="shared" si="79"/>
        <v>-6.0883501055069882</v>
      </c>
    </row>
    <row r="119" spans="1:36" ht="18" customHeight="1" x14ac:dyDescent="0.25">
      <c r="A119" s="18">
        <f t="shared" si="63"/>
        <v>26</v>
      </c>
      <c r="B119" s="2">
        <v>102</v>
      </c>
      <c r="C119" s="2">
        <v>0</v>
      </c>
      <c r="D119" s="2">
        <v>1</v>
      </c>
      <c r="E119" s="2">
        <v>1</v>
      </c>
      <c r="F119" s="3">
        <f t="shared" si="65"/>
        <v>3.7808763628207598</v>
      </c>
      <c r="G119" s="3">
        <f t="shared" si="65"/>
        <v>4.0248216174659515</v>
      </c>
      <c r="H119" s="3">
        <f t="shared" si="65"/>
        <v>-1.4392297316221996</v>
      </c>
      <c r="I119" s="3">
        <f t="shared" si="64"/>
        <v>-3.586582432155633</v>
      </c>
      <c r="J119" s="3">
        <f t="shared" si="64"/>
        <v>-3.2300768119354082</v>
      </c>
      <c r="K119" s="3">
        <f t="shared" si="64"/>
        <v>4.969489148639088</v>
      </c>
      <c r="L119" s="3">
        <f t="shared" si="64"/>
        <v>4.0349542000905503</v>
      </c>
      <c r="M119" s="3">
        <f t="shared" si="64"/>
        <v>4.0187932825804156</v>
      </c>
      <c r="N119" s="3">
        <f t="shared" si="64"/>
        <v>-6.0883501055069882</v>
      </c>
      <c r="O119" s="3">
        <f t="shared" si="40"/>
        <v>2.5855918858437521</v>
      </c>
      <c r="P119" s="3">
        <f t="shared" si="41"/>
        <v>0.92992852174373331</v>
      </c>
      <c r="Q119" s="3">
        <f t="shared" si="42"/>
        <v>1.7394123367036798</v>
      </c>
      <c r="R119" s="3">
        <f t="shared" si="43"/>
        <v>0.85061240592636633</v>
      </c>
      <c r="S119" s="3">
        <f t="shared" si="44"/>
        <v>1.0823043121033322</v>
      </c>
      <c r="T119" s="4">
        <f t="shared" si="45"/>
        <v>0.74692980527109676</v>
      </c>
      <c r="U119" s="1">
        <f t="shared" si="66"/>
        <v>1</v>
      </c>
      <c r="V119" s="3">
        <f t="shared" si="47"/>
        <v>0.25307019472890324</v>
      </c>
      <c r="W119" s="3">
        <f t="shared" si="67"/>
        <v>3.20222617300625E-2</v>
      </c>
      <c r="X119" s="5" t="str">
        <f t="shared" si="61"/>
        <v>PASS</v>
      </c>
      <c r="Y119" s="3">
        <f t="shared" si="68"/>
        <v>4.7836763436751355E-2</v>
      </c>
      <c r="Z119" s="3">
        <f t="shared" si="69"/>
        <v>1.2577410787526234E-2</v>
      </c>
      <c r="AA119" s="3">
        <f t="shared" si="70"/>
        <v>2.442888816368978E-2</v>
      </c>
      <c r="AB119" s="3">
        <f t="shared" si="71"/>
        <v>3.7808763628207598</v>
      </c>
      <c r="AC119" s="3">
        <f t="shared" si="72"/>
        <v>4.056265144434767</v>
      </c>
      <c r="AD119" s="3">
        <f t="shared" si="73"/>
        <v>-1.407786204653384</v>
      </c>
      <c r="AE119" s="3">
        <f t="shared" si="74"/>
        <v>-3.586582432155633</v>
      </c>
      <c r="AF119" s="3">
        <f t="shared" si="75"/>
        <v>-3.1690045915261837</v>
      </c>
      <c r="AG119" s="3">
        <f t="shared" si="76"/>
        <v>5.0305613690483124</v>
      </c>
      <c r="AH119" s="3">
        <f t="shared" si="77"/>
        <v>4.1461661268599075</v>
      </c>
      <c r="AI119" s="3">
        <f t="shared" si="78"/>
        <v>4.1205196436770795</v>
      </c>
      <c r="AJ119" s="11">
        <f t="shared" si="79"/>
        <v>-5.9687581969151102</v>
      </c>
    </row>
    <row r="120" spans="1:36" ht="18" customHeight="1" x14ac:dyDescent="0.25">
      <c r="A120" s="18">
        <f t="shared" si="63"/>
        <v>26</v>
      </c>
      <c r="B120" s="2">
        <v>103</v>
      </c>
      <c r="C120" s="2">
        <v>1</v>
      </c>
      <c r="D120" s="2">
        <v>0</v>
      </c>
      <c r="E120" s="2">
        <v>1</v>
      </c>
      <c r="F120" s="3">
        <f t="shared" si="65"/>
        <v>3.7808763628207598</v>
      </c>
      <c r="G120" s="3">
        <f t="shared" si="65"/>
        <v>4.056265144434767</v>
      </c>
      <c r="H120" s="3">
        <f t="shared" si="65"/>
        <v>-1.407786204653384</v>
      </c>
      <c r="I120" s="3">
        <f t="shared" si="64"/>
        <v>-3.586582432155633</v>
      </c>
      <c r="J120" s="3">
        <f t="shared" si="64"/>
        <v>-3.1690045915261837</v>
      </c>
      <c r="K120" s="3">
        <f t="shared" si="64"/>
        <v>5.0305613690483124</v>
      </c>
      <c r="L120" s="3">
        <f t="shared" si="64"/>
        <v>4.1461661268599075</v>
      </c>
      <c r="M120" s="3">
        <f t="shared" si="64"/>
        <v>4.1205196436770795</v>
      </c>
      <c r="N120" s="3">
        <f t="shared" si="64"/>
        <v>-5.9687581969151102</v>
      </c>
      <c r="O120" s="3">
        <f t="shared" si="40"/>
        <v>2.3730901581673756</v>
      </c>
      <c r="P120" s="3">
        <f t="shared" si="41"/>
        <v>0.91475214218681511</v>
      </c>
      <c r="Q120" s="3">
        <f t="shared" si="42"/>
        <v>1.4439789368926794</v>
      </c>
      <c r="R120" s="3">
        <f t="shared" si="43"/>
        <v>0.80907005649590213</v>
      </c>
      <c r="S120" s="3">
        <f t="shared" si="44"/>
        <v>1.1577452103946895</v>
      </c>
      <c r="T120" s="4">
        <f t="shared" si="45"/>
        <v>0.76092276643078116</v>
      </c>
      <c r="U120" s="1">
        <f t="shared" si="66"/>
        <v>1</v>
      </c>
      <c r="V120" s="3">
        <f t="shared" si="47"/>
        <v>0.23907723356921884</v>
      </c>
      <c r="W120" s="3">
        <f t="shared" si="67"/>
        <v>2.8578961805555411E-2</v>
      </c>
      <c r="X120" s="5" t="str">
        <f t="shared" si="61"/>
        <v>PASS</v>
      </c>
      <c r="Y120" s="3">
        <f t="shared" si="68"/>
        <v>4.3492765357605705E-2</v>
      </c>
      <c r="Z120" s="3">
        <f t="shared" si="69"/>
        <v>1.4062114529619286E-2</v>
      </c>
      <c r="AA120" s="3">
        <f t="shared" si="70"/>
        <v>2.7684021836077394E-2</v>
      </c>
      <c r="AB120" s="3">
        <f t="shared" si="71"/>
        <v>3.8160316491448079</v>
      </c>
      <c r="AC120" s="3">
        <f t="shared" si="72"/>
        <v>4.056265144434767</v>
      </c>
      <c r="AD120" s="3">
        <f t="shared" si="73"/>
        <v>-1.3726309183293357</v>
      </c>
      <c r="AE120" s="3">
        <f t="shared" si="74"/>
        <v>-3.5173723775654393</v>
      </c>
      <c r="AF120" s="3">
        <f t="shared" si="75"/>
        <v>-3.1690045915261837</v>
      </c>
      <c r="AG120" s="3">
        <f t="shared" si="76"/>
        <v>5.0997714236385061</v>
      </c>
      <c r="AH120" s="3">
        <f t="shared" si="77"/>
        <v>4.2456288775611535</v>
      </c>
      <c r="AI120" s="3">
        <f t="shared" si="78"/>
        <v>4.2084913789896818</v>
      </c>
      <c r="AJ120" s="11">
        <f t="shared" si="79"/>
        <v>-5.8600262835210959</v>
      </c>
    </row>
    <row r="121" spans="1:36" ht="18" customHeight="1" x14ac:dyDescent="0.25">
      <c r="A121" s="18">
        <f t="shared" si="63"/>
        <v>26</v>
      </c>
      <c r="B121" s="2">
        <v>104</v>
      </c>
      <c r="C121" s="2">
        <v>1</v>
      </c>
      <c r="D121" s="2">
        <v>1</v>
      </c>
      <c r="E121" s="2">
        <v>0</v>
      </c>
      <c r="F121" s="3">
        <f t="shared" si="65"/>
        <v>3.8160316491448079</v>
      </c>
      <c r="G121" s="3">
        <f t="shared" si="65"/>
        <v>4.056265144434767</v>
      </c>
      <c r="H121" s="3">
        <f t="shared" si="65"/>
        <v>-1.3726309183293357</v>
      </c>
      <c r="I121" s="3">
        <f t="shared" si="64"/>
        <v>-3.5173723775654393</v>
      </c>
      <c r="J121" s="3">
        <f t="shared" si="64"/>
        <v>-3.1690045915261837</v>
      </c>
      <c r="K121" s="3">
        <f t="shared" si="64"/>
        <v>5.0997714236385061</v>
      </c>
      <c r="L121" s="3">
        <f t="shared" si="64"/>
        <v>4.2456288775611535</v>
      </c>
      <c r="M121" s="3">
        <f t="shared" si="64"/>
        <v>4.2084913789896818</v>
      </c>
      <c r="N121" s="3">
        <f t="shared" si="64"/>
        <v>-5.8600262835210959</v>
      </c>
      <c r="O121" s="3">
        <f t="shared" si="40"/>
        <v>6.4996658752502388</v>
      </c>
      <c r="P121" s="3">
        <f t="shared" si="41"/>
        <v>0.9984983168306556</v>
      </c>
      <c r="Q121" s="3">
        <f t="shared" si="42"/>
        <v>-1.5866055454531169</v>
      </c>
      <c r="R121" s="3">
        <f t="shared" si="43"/>
        <v>0.16986200900937892</v>
      </c>
      <c r="S121" s="3">
        <f t="shared" si="44"/>
        <v>-0.90591019485481894</v>
      </c>
      <c r="T121" s="4">
        <f t="shared" si="45"/>
        <v>0.28783746639645308</v>
      </c>
      <c r="U121" s="1">
        <f t="shared" si="66"/>
        <v>0</v>
      </c>
      <c r="V121" s="3">
        <f t="shared" si="47"/>
        <v>-0.28783746639645308</v>
      </c>
      <c r="W121" s="3">
        <f t="shared" si="67"/>
        <v>4.1425203530764627E-2</v>
      </c>
      <c r="X121" s="5" t="str">
        <f t="shared" si="61"/>
        <v>PASS</v>
      </c>
      <c r="Y121" s="3">
        <f t="shared" si="68"/>
        <v>-5.9002955803023865E-2</v>
      </c>
      <c r="Z121" s="3">
        <f t="shared" si="69"/>
        <v>-3.7561372017652091E-4</v>
      </c>
      <c r="AA121" s="3">
        <f t="shared" si="70"/>
        <v>-3.5014405451361197E-2</v>
      </c>
      <c r="AB121" s="3">
        <f t="shared" si="71"/>
        <v>3.8150926148443665</v>
      </c>
      <c r="AC121" s="3">
        <f t="shared" si="72"/>
        <v>4.0553261101343256</v>
      </c>
      <c r="AD121" s="3">
        <f t="shared" si="73"/>
        <v>-1.3735699526297771</v>
      </c>
      <c r="AE121" s="3">
        <f t="shared" si="74"/>
        <v>-3.6049083911938422</v>
      </c>
      <c r="AF121" s="3">
        <f t="shared" si="75"/>
        <v>-3.2565406051545867</v>
      </c>
      <c r="AG121" s="3">
        <f t="shared" si="76"/>
        <v>5.0122354100101028</v>
      </c>
      <c r="AH121" s="3">
        <f t="shared" si="77"/>
        <v>4.0983429974177712</v>
      </c>
      <c r="AI121" s="3">
        <f t="shared" si="78"/>
        <v>4.1834354774641991</v>
      </c>
      <c r="AJ121" s="11">
        <f t="shared" si="79"/>
        <v>-6.0075336730286555</v>
      </c>
    </row>
    <row r="122" spans="1:36" ht="18" customHeight="1" x14ac:dyDescent="0.25">
      <c r="A122" s="18">
        <f t="shared" si="63"/>
        <v>27</v>
      </c>
      <c r="B122" s="2">
        <v>105</v>
      </c>
      <c r="C122" s="2">
        <v>0</v>
      </c>
      <c r="D122" s="2">
        <v>0</v>
      </c>
      <c r="E122" s="2">
        <v>0</v>
      </c>
      <c r="F122" s="3">
        <f t="shared" si="65"/>
        <v>3.8150926148443665</v>
      </c>
      <c r="G122" s="3">
        <f t="shared" si="65"/>
        <v>4.0553261101343256</v>
      </c>
      <c r="H122" s="3">
        <f t="shared" si="65"/>
        <v>-1.3735699526297771</v>
      </c>
      <c r="I122" s="3">
        <f t="shared" si="64"/>
        <v>-3.6049083911938422</v>
      </c>
      <c r="J122" s="3">
        <f t="shared" si="64"/>
        <v>-3.2565406051545867</v>
      </c>
      <c r="K122" s="3">
        <f t="shared" si="64"/>
        <v>5.0122354100101028</v>
      </c>
      <c r="L122" s="3">
        <f t="shared" si="64"/>
        <v>4.0983429974177712</v>
      </c>
      <c r="M122" s="3">
        <f t="shared" si="64"/>
        <v>4.1834354774641991</v>
      </c>
      <c r="N122" s="3">
        <f t="shared" si="64"/>
        <v>-6.0075336730286555</v>
      </c>
      <c r="O122" s="3">
        <f t="shared" si="40"/>
        <v>-1.3735699526297771</v>
      </c>
      <c r="P122" s="3">
        <f t="shared" si="41"/>
        <v>0.20204367916661575</v>
      </c>
      <c r="Q122" s="3">
        <f t="shared" si="42"/>
        <v>5.0122354100101028</v>
      </c>
      <c r="R122" s="3">
        <f t="shared" si="43"/>
        <v>0.99338800175435338</v>
      </c>
      <c r="S122" s="3">
        <f t="shared" si="44"/>
        <v>-1.0237147659172026</v>
      </c>
      <c r="T122" s="4">
        <f t="shared" si="45"/>
        <v>0.26430444104478285</v>
      </c>
      <c r="U122" s="1">
        <f t="shared" si="66"/>
        <v>0</v>
      </c>
      <c r="V122" s="3">
        <f t="shared" si="47"/>
        <v>-0.26430444104478285</v>
      </c>
      <c r="W122" s="3">
        <f t="shared" si="67"/>
        <v>3.4928418777997544E-2</v>
      </c>
      <c r="X122" s="5" t="str">
        <f t="shared" si="61"/>
        <v>PASS</v>
      </c>
      <c r="Y122" s="3">
        <f t="shared" si="68"/>
        <v>-5.1393365152601615E-2</v>
      </c>
      <c r="Z122" s="3">
        <f t="shared" si="69"/>
        <v>-3.3957815586987891E-2</v>
      </c>
      <c r="AA122" s="3">
        <f t="shared" si="70"/>
        <v>-1.4121855733719403E-3</v>
      </c>
      <c r="AB122" s="3">
        <f t="shared" si="71"/>
        <v>3.8150926148443665</v>
      </c>
      <c r="AC122" s="3">
        <f t="shared" si="72"/>
        <v>4.0553261101343256</v>
      </c>
      <c r="AD122" s="3">
        <f t="shared" si="73"/>
        <v>-1.4584644915972469</v>
      </c>
      <c r="AE122" s="3">
        <f t="shared" si="74"/>
        <v>-3.6049083911938422</v>
      </c>
      <c r="AF122" s="3">
        <f t="shared" si="75"/>
        <v>-3.2565406051545867</v>
      </c>
      <c r="AG122" s="3">
        <f t="shared" si="76"/>
        <v>5.0087049460766728</v>
      </c>
      <c r="AH122" s="3">
        <f t="shared" si="77"/>
        <v>4.0723837359673087</v>
      </c>
      <c r="AI122" s="3">
        <f t="shared" si="78"/>
        <v>4.0558015966832626</v>
      </c>
      <c r="AJ122" s="11">
        <f t="shared" si="79"/>
        <v>-6.1360170859101597</v>
      </c>
    </row>
    <row r="123" spans="1:36" ht="18" customHeight="1" x14ac:dyDescent="0.25">
      <c r="A123" s="18">
        <f t="shared" si="63"/>
        <v>27</v>
      </c>
      <c r="B123" s="2">
        <v>106</v>
      </c>
      <c r="C123" s="2">
        <v>0</v>
      </c>
      <c r="D123" s="2">
        <v>1</v>
      </c>
      <c r="E123" s="2">
        <v>1</v>
      </c>
      <c r="F123" s="3">
        <f t="shared" si="65"/>
        <v>3.8150926148443665</v>
      </c>
      <c r="G123" s="3">
        <f t="shared" si="65"/>
        <v>4.0553261101343256</v>
      </c>
      <c r="H123" s="3">
        <f t="shared" si="65"/>
        <v>-1.4584644915972469</v>
      </c>
      <c r="I123" s="3">
        <f t="shared" si="64"/>
        <v>-3.6049083911938422</v>
      </c>
      <c r="J123" s="3">
        <f t="shared" si="64"/>
        <v>-3.2565406051545867</v>
      </c>
      <c r="K123" s="3">
        <f t="shared" si="64"/>
        <v>5.0087049460766728</v>
      </c>
      <c r="L123" s="3">
        <f t="shared" si="64"/>
        <v>4.0723837359673087</v>
      </c>
      <c r="M123" s="3">
        <f t="shared" si="64"/>
        <v>4.0558015966832626</v>
      </c>
      <c r="N123" s="3">
        <f t="shared" si="64"/>
        <v>-6.1360170859101597</v>
      </c>
      <c r="O123" s="3">
        <f t="shared" si="40"/>
        <v>2.596861618537079</v>
      </c>
      <c r="P123" s="3">
        <f t="shared" si="41"/>
        <v>0.93065932543977337</v>
      </c>
      <c r="Q123" s="3">
        <f t="shared" si="42"/>
        <v>1.7521643409220862</v>
      </c>
      <c r="R123" s="3">
        <f t="shared" si="43"/>
        <v>0.85222558071728949</v>
      </c>
      <c r="S123" s="3">
        <f t="shared" si="44"/>
        <v>1.1104426857445837</v>
      </c>
      <c r="T123" s="4">
        <f t="shared" si="45"/>
        <v>0.75221163253443846</v>
      </c>
      <c r="U123" s="1">
        <f t="shared" si="66"/>
        <v>1</v>
      </c>
      <c r="V123" s="3">
        <f t="shared" si="47"/>
        <v>0.24778836746556154</v>
      </c>
      <c r="W123" s="3">
        <f t="shared" si="67"/>
        <v>3.0699537525624078E-2</v>
      </c>
      <c r="X123" s="5" t="str">
        <f t="shared" si="61"/>
        <v>PASS</v>
      </c>
      <c r="Y123" s="3">
        <f t="shared" si="68"/>
        <v>4.6185098480403884E-2</v>
      </c>
      <c r="Z123" s="3">
        <f t="shared" si="69"/>
        <v>1.2137503384395823E-2</v>
      </c>
      <c r="AA123" s="3">
        <f t="shared" si="70"/>
        <v>2.3590242386056101E-2</v>
      </c>
      <c r="AB123" s="3">
        <f t="shared" si="71"/>
        <v>3.8150926148443665</v>
      </c>
      <c r="AC123" s="3">
        <f t="shared" si="72"/>
        <v>4.085669868595315</v>
      </c>
      <c r="AD123" s="3">
        <f t="shared" si="73"/>
        <v>-1.4281207331362573</v>
      </c>
      <c r="AE123" s="3">
        <f t="shared" si="74"/>
        <v>-3.6049083911938422</v>
      </c>
      <c r="AF123" s="3">
        <f t="shared" si="75"/>
        <v>-3.1975649991894466</v>
      </c>
      <c r="AG123" s="3">
        <f t="shared" si="76"/>
        <v>5.0676805520418133</v>
      </c>
      <c r="AH123" s="3">
        <f t="shared" si="77"/>
        <v>4.1798402174601641</v>
      </c>
      <c r="AI123" s="3">
        <f t="shared" si="78"/>
        <v>4.1542019026156307</v>
      </c>
      <c r="AJ123" s="11">
        <f t="shared" si="79"/>
        <v>-6.0205543397091503</v>
      </c>
    </row>
    <row r="124" spans="1:36" ht="18" customHeight="1" x14ac:dyDescent="0.25">
      <c r="A124" s="18">
        <f t="shared" si="63"/>
        <v>27</v>
      </c>
      <c r="B124" s="2">
        <v>107</v>
      </c>
      <c r="C124" s="2">
        <v>1</v>
      </c>
      <c r="D124" s="2">
        <v>0</v>
      </c>
      <c r="E124" s="2">
        <v>1</v>
      </c>
      <c r="F124" s="3">
        <f t="shared" si="65"/>
        <v>3.8150926148443665</v>
      </c>
      <c r="G124" s="3">
        <f t="shared" si="65"/>
        <v>4.085669868595315</v>
      </c>
      <c r="H124" s="3">
        <f t="shared" si="65"/>
        <v>-1.4281207331362573</v>
      </c>
      <c r="I124" s="3">
        <f t="shared" si="64"/>
        <v>-3.6049083911938422</v>
      </c>
      <c r="J124" s="3">
        <f t="shared" si="64"/>
        <v>-3.1975649991894466</v>
      </c>
      <c r="K124" s="3">
        <f t="shared" si="64"/>
        <v>5.0676805520418133</v>
      </c>
      <c r="L124" s="3">
        <f t="shared" si="64"/>
        <v>4.1798402174601641</v>
      </c>
      <c r="M124" s="3">
        <f t="shared" si="64"/>
        <v>4.1542019026156307</v>
      </c>
      <c r="N124" s="3">
        <f t="shared" si="64"/>
        <v>-6.0205543397091503</v>
      </c>
      <c r="O124" s="3">
        <f t="shared" si="40"/>
        <v>2.3869718817081091</v>
      </c>
      <c r="P124" s="3">
        <f t="shared" si="41"/>
        <v>0.91582843415089354</v>
      </c>
      <c r="Q124" s="3">
        <f t="shared" si="42"/>
        <v>1.4627721608479711</v>
      </c>
      <c r="R124" s="3">
        <f t="shared" si="43"/>
        <v>0.81195630343467051</v>
      </c>
      <c r="S124" s="3">
        <f t="shared" si="44"/>
        <v>1.1804926022173845</v>
      </c>
      <c r="T124" s="4">
        <f t="shared" si="45"/>
        <v>0.7650363633933519</v>
      </c>
      <c r="U124" s="1">
        <f t="shared" si="66"/>
        <v>1</v>
      </c>
      <c r="V124" s="3">
        <f t="shared" si="47"/>
        <v>0.2349636366066481</v>
      </c>
      <c r="W124" s="3">
        <f t="shared" si="67"/>
        <v>2.760395526371049E-2</v>
      </c>
      <c r="X124" s="5" t="str">
        <f t="shared" si="61"/>
        <v>PASS</v>
      </c>
      <c r="Y124" s="3">
        <f t="shared" si="68"/>
        <v>4.2236059100443694E-2</v>
      </c>
      <c r="Z124" s="3">
        <f t="shared" si="69"/>
        <v>1.3608886714265592E-2</v>
      </c>
      <c r="AA124" s="3">
        <f t="shared" si="70"/>
        <v>2.6789365458028395E-2</v>
      </c>
      <c r="AB124" s="3">
        <f t="shared" si="71"/>
        <v>3.8491148316300303</v>
      </c>
      <c r="AC124" s="3">
        <f t="shared" si="72"/>
        <v>4.085669868595315</v>
      </c>
      <c r="AD124" s="3">
        <f t="shared" si="73"/>
        <v>-1.3940985163505932</v>
      </c>
      <c r="AE124" s="3">
        <f t="shared" si="74"/>
        <v>-3.5379349775487712</v>
      </c>
      <c r="AF124" s="3">
        <f t="shared" si="75"/>
        <v>-3.1975649991894466</v>
      </c>
      <c r="AG124" s="3">
        <f t="shared" si="76"/>
        <v>5.1346539656868844</v>
      </c>
      <c r="AH124" s="3">
        <f t="shared" si="77"/>
        <v>4.276542677136824</v>
      </c>
      <c r="AI124" s="3">
        <f t="shared" si="78"/>
        <v>4.2399364886627424</v>
      </c>
      <c r="AJ124" s="11">
        <f t="shared" si="79"/>
        <v>-5.9149641919580409</v>
      </c>
    </row>
    <row r="125" spans="1:36" ht="18" customHeight="1" x14ac:dyDescent="0.25">
      <c r="A125" s="18">
        <f t="shared" si="63"/>
        <v>27</v>
      </c>
      <c r="B125" s="2">
        <v>108</v>
      </c>
      <c r="C125" s="2">
        <v>1</v>
      </c>
      <c r="D125" s="2">
        <v>1</v>
      </c>
      <c r="E125" s="2">
        <v>0</v>
      </c>
      <c r="F125" s="3">
        <f t="shared" si="65"/>
        <v>3.8491148316300303</v>
      </c>
      <c r="G125" s="3">
        <f t="shared" si="65"/>
        <v>4.085669868595315</v>
      </c>
      <c r="H125" s="3">
        <f t="shared" si="65"/>
        <v>-1.3940985163505932</v>
      </c>
      <c r="I125" s="3">
        <f t="shared" si="64"/>
        <v>-3.5379349775487712</v>
      </c>
      <c r="J125" s="3">
        <f t="shared" si="64"/>
        <v>-3.1975649991894466</v>
      </c>
      <c r="K125" s="3">
        <f t="shared" si="64"/>
        <v>5.1346539656868844</v>
      </c>
      <c r="L125" s="3">
        <f t="shared" si="64"/>
        <v>4.276542677136824</v>
      </c>
      <c r="M125" s="3">
        <f t="shared" si="64"/>
        <v>4.2399364886627424</v>
      </c>
      <c r="N125" s="3">
        <f t="shared" si="64"/>
        <v>-5.9149641919580409</v>
      </c>
      <c r="O125" s="3">
        <f t="shared" si="40"/>
        <v>6.5406861838747519</v>
      </c>
      <c r="P125" s="3">
        <f t="shared" si="41"/>
        <v>0.99855858302772338</v>
      </c>
      <c r="Q125" s="3">
        <f t="shared" si="42"/>
        <v>-1.6008460110513338</v>
      </c>
      <c r="R125" s="3">
        <f t="shared" si="43"/>
        <v>0.16786340636430494</v>
      </c>
      <c r="S125" s="3">
        <f t="shared" si="44"/>
        <v>-0.93285561426346941</v>
      </c>
      <c r="T125" s="4">
        <f t="shared" si="45"/>
        <v>0.28234573157674747</v>
      </c>
      <c r="U125" s="1">
        <f t="shared" si="66"/>
        <v>0</v>
      </c>
      <c r="V125" s="3">
        <f t="shared" si="47"/>
        <v>-0.28234573157674747</v>
      </c>
      <c r="W125" s="3">
        <f t="shared" si="67"/>
        <v>3.9859556069804368E-2</v>
      </c>
      <c r="X125" s="5" t="str">
        <f t="shared" si="61"/>
        <v>PASS</v>
      </c>
      <c r="Y125" s="3">
        <f t="shared" si="68"/>
        <v>-5.7210761101902138E-2</v>
      </c>
      <c r="Z125" s="3">
        <f t="shared" si="69"/>
        <v>-3.5215488420526698E-4</v>
      </c>
      <c r="AA125" s="3">
        <f t="shared" si="70"/>
        <v>-3.3883458235730586E-2</v>
      </c>
      <c r="AB125" s="3">
        <f t="shared" si="71"/>
        <v>3.8482344444195173</v>
      </c>
      <c r="AC125" s="3">
        <f t="shared" si="72"/>
        <v>4.084789481384802</v>
      </c>
      <c r="AD125" s="3">
        <f t="shared" si="73"/>
        <v>-1.3949789035611064</v>
      </c>
      <c r="AE125" s="3">
        <f t="shared" si="74"/>
        <v>-3.6226436231380976</v>
      </c>
      <c r="AF125" s="3">
        <f t="shared" si="75"/>
        <v>-3.282273644778773</v>
      </c>
      <c r="AG125" s="3">
        <f t="shared" si="76"/>
        <v>5.0499453200975575</v>
      </c>
      <c r="AH125" s="3">
        <f t="shared" si="77"/>
        <v>4.1337219357871913</v>
      </c>
      <c r="AI125" s="3">
        <f t="shared" si="78"/>
        <v>4.2159275055645926</v>
      </c>
      <c r="AJ125" s="11">
        <f t="shared" si="79"/>
        <v>-6.0579910947127962</v>
      </c>
    </row>
    <row r="126" spans="1:36" ht="18" customHeight="1" x14ac:dyDescent="0.25">
      <c r="A126" s="18">
        <f t="shared" si="63"/>
        <v>28</v>
      </c>
      <c r="B126" s="2">
        <v>109</v>
      </c>
      <c r="C126" s="2">
        <v>0</v>
      </c>
      <c r="D126" s="2">
        <v>0</v>
      </c>
      <c r="E126" s="2">
        <v>0</v>
      </c>
      <c r="F126" s="3">
        <f t="shared" si="65"/>
        <v>3.8482344444195173</v>
      </c>
      <c r="G126" s="3">
        <f t="shared" si="65"/>
        <v>4.084789481384802</v>
      </c>
      <c r="H126" s="3">
        <f t="shared" si="65"/>
        <v>-1.3949789035611064</v>
      </c>
      <c r="I126" s="3">
        <f t="shared" si="64"/>
        <v>-3.6226436231380976</v>
      </c>
      <c r="J126" s="3">
        <f t="shared" si="64"/>
        <v>-3.282273644778773</v>
      </c>
      <c r="K126" s="3">
        <f t="shared" si="64"/>
        <v>5.0499453200975575</v>
      </c>
      <c r="L126" s="3">
        <f t="shared" si="64"/>
        <v>4.1337219357871913</v>
      </c>
      <c r="M126" s="3">
        <f t="shared" si="64"/>
        <v>4.2159275055645926</v>
      </c>
      <c r="N126" s="3">
        <f t="shared" si="64"/>
        <v>-6.0579910947127962</v>
      </c>
      <c r="O126" s="3">
        <f t="shared" si="40"/>
        <v>-1.3949789035611064</v>
      </c>
      <c r="P126" s="3">
        <f t="shared" si="41"/>
        <v>0.1986140927111702</v>
      </c>
      <c r="Q126" s="3">
        <f t="shared" si="42"/>
        <v>5.0499453200975575</v>
      </c>
      <c r="R126" s="3">
        <f t="shared" si="43"/>
        <v>0.99363113847174511</v>
      </c>
      <c r="S126" s="3">
        <f t="shared" si="44"/>
        <v>-1.0478988158476703</v>
      </c>
      <c r="T126" s="4">
        <f t="shared" si="45"/>
        <v>0.25962878993104183</v>
      </c>
      <c r="U126" s="1">
        <f t="shared" si="66"/>
        <v>0</v>
      </c>
      <c r="V126" s="3">
        <f t="shared" si="47"/>
        <v>-0.25962878993104183</v>
      </c>
      <c r="W126" s="3">
        <f t="shared" si="67"/>
        <v>3.3703554280528521E-2</v>
      </c>
      <c r="X126" s="5" t="str">
        <f t="shared" si="61"/>
        <v>PASS</v>
      </c>
      <c r="Y126" s="3">
        <f t="shared" si="68"/>
        <v>-4.9906282532599426E-2</v>
      </c>
      <c r="Z126" s="3">
        <f t="shared" si="69"/>
        <v>-3.2835848409312619E-2</v>
      </c>
      <c r="AA126" s="3">
        <f t="shared" si="70"/>
        <v>-1.331482169246062E-3</v>
      </c>
      <c r="AB126" s="3">
        <f t="shared" si="71"/>
        <v>3.8482344444195173</v>
      </c>
      <c r="AC126" s="3">
        <f t="shared" si="72"/>
        <v>4.084789481384802</v>
      </c>
      <c r="AD126" s="3">
        <f t="shared" si="73"/>
        <v>-1.477068524584388</v>
      </c>
      <c r="AE126" s="3">
        <f t="shared" si="74"/>
        <v>-3.6226436231380976</v>
      </c>
      <c r="AF126" s="3">
        <f t="shared" si="75"/>
        <v>-3.282273644778773</v>
      </c>
      <c r="AG126" s="3">
        <f t="shared" si="76"/>
        <v>5.0466166146744422</v>
      </c>
      <c r="AH126" s="3">
        <f t="shared" si="77"/>
        <v>4.1089417082226927</v>
      </c>
      <c r="AI126" s="3">
        <f t="shared" si="78"/>
        <v>4.0919564147401939</v>
      </c>
      <c r="AJ126" s="11">
        <f t="shared" si="79"/>
        <v>-6.1827568010442944</v>
      </c>
    </row>
    <row r="127" spans="1:36" ht="18" customHeight="1" x14ac:dyDescent="0.25">
      <c r="A127" s="18">
        <f t="shared" si="63"/>
        <v>28</v>
      </c>
      <c r="B127" s="2">
        <v>110</v>
      </c>
      <c r="C127" s="2">
        <v>0</v>
      </c>
      <c r="D127" s="2">
        <v>1</v>
      </c>
      <c r="E127" s="2">
        <v>1</v>
      </c>
      <c r="F127" s="3">
        <f t="shared" si="65"/>
        <v>3.8482344444195173</v>
      </c>
      <c r="G127" s="3">
        <f t="shared" si="65"/>
        <v>4.084789481384802</v>
      </c>
      <c r="H127" s="3">
        <f t="shared" si="65"/>
        <v>-1.477068524584388</v>
      </c>
      <c r="I127" s="3">
        <f t="shared" si="64"/>
        <v>-3.6226436231380976</v>
      </c>
      <c r="J127" s="3">
        <f t="shared" si="64"/>
        <v>-3.282273644778773</v>
      </c>
      <c r="K127" s="3">
        <f t="shared" si="64"/>
        <v>5.0466166146744422</v>
      </c>
      <c r="L127" s="3">
        <f t="shared" si="64"/>
        <v>4.1089417082226927</v>
      </c>
      <c r="M127" s="3">
        <f t="shared" si="64"/>
        <v>4.0919564147401939</v>
      </c>
      <c r="N127" s="3">
        <f t="shared" si="64"/>
        <v>-6.1827568010442944</v>
      </c>
      <c r="O127" s="3">
        <f t="shared" si="40"/>
        <v>2.607720956800414</v>
      </c>
      <c r="P127" s="3">
        <f t="shared" si="41"/>
        <v>0.93135683728845886</v>
      </c>
      <c r="Q127" s="3">
        <f t="shared" si="42"/>
        <v>1.7643429698956692</v>
      </c>
      <c r="R127" s="3">
        <f t="shared" si="43"/>
        <v>0.85375275255321381</v>
      </c>
      <c r="S127" s="3">
        <f t="shared" si="44"/>
        <v>1.1376532053408512</v>
      </c>
      <c r="T127" s="4">
        <f t="shared" si="45"/>
        <v>0.75724850416107359</v>
      </c>
      <c r="U127" s="1">
        <f t="shared" si="66"/>
        <v>1</v>
      </c>
      <c r="V127" s="3">
        <f t="shared" si="47"/>
        <v>0.24275149583892641</v>
      </c>
      <c r="W127" s="3">
        <f t="shared" si="67"/>
        <v>2.9464144366018154E-2</v>
      </c>
      <c r="X127" s="5" t="str">
        <f t="shared" si="61"/>
        <v>PASS</v>
      </c>
      <c r="Y127" s="3">
        <f t="shared" si="68"/>
        <v>4.462335849510634E-2</v>
      </c>
      <c r="Z127" s="3">
        <f t="shared" si="69"/>
        <v>1.1722105510813851E-2</v>
      </c>
      <c r="AA127" s="3">
        <f t="shared" si="70"/>
        <v>2.2798856786173424E-2</v>
      </c>
      <c r="AB127" s="3">
        <f t="shared" si="71"/>
        <v>3.8482344444195173</v>
      </c>
      <c r="AC127" s="3">
        <f t="shared" si="72"/>
        <v>4.1140947451618368</v>
      </c>
      <c r="AD127" s="3">
        <f t="shared" si="73"/>
        <v>-1.4477632608073534</v>
      </c>
      <c r="AE127" s="3">
        <f t="shared" si="74"/>
        <v>-3.6226436231380976</v>
      </c>
      <c r="AF127" s="3">
        <f t="shared" si="75"/>
        <v>-3.2252765028133394</v>
      </c>
      <c r="AG127" s="3">
        <f t="shared" si="76"/>
        <v>5.1036137566398754</v>
      </c>
      <c r="AH127" s="3">
        <f t="shared" si="77"/>
        <v>4.212842383315671</v>
      </c>
      <c r="AI127" s="3">
        <f t="shared" si="78"/>
        <v>4.1871997025986083</v>
      </c>
      <c r="AJ127" s="11">
        <f t="shared" si="79"/>
        <v>-6.0711984048065286</v>
      </c>
    </row>
    <row r="128" spans="1:36" ht="18" customHeight="1" x14ac:dyDescent="0.25">
      <c r="A128" s="18">
        <f t="shared" si="63"/>
        <v>28</v>
      </c>
      <c r="B128" s="2">
        <v>111</v>
      </c>
      <c r="C128" s="2">
        <v>1</v>
      </c>
      <c r="D128" s="2">
        <v>0</v>
      </c>
      <c r="E128" s="2">
        <v>1</v>
      </c>
      <c r="F128" s="3">
        <f t="shared" si="65"/>
        <v>3.8482344444195173</v>
      </c>
      <c r="G128" s="3">
        <f t="shared" si="65"/>
        <v>4.1140947451618368</v>
      </c>
      <c r="H128" s="3">
        <f t="shared" si="65"/>
        <v>-1.4477632608073534</v>
      </c>
      <c r="I128" s="3">
        <f t="shared" si="64"/>
        <v>-3.6226436231380976</v>
      </c>
      <c r="J128" s="3">
        <f t="shared" si="64"/>
        <v>-3.2252765028133394</v>
      </c>
      <c r="K128" s="3">
        <f t="shared" si="64"/>
        <v>5.1036137566398754</v>
      </c>
      <c r="L128" s="3">
        <f t="shared" si="64"/>
        <v>4.212842383315671</v>
      </c>
      <c r="M128" s="3">
        <f t="shared" si="64"/>
        <v>4.1871997025986083</v>
      </c>
      <c r="N128" s="3">
        <f t="shared" si="64"/>
        <v>-6.0711984048065286</v>
      </c>
      <c r="O128" s="3">
        <f t="shared" si="40"/>
        <v>2.4004711836121642</v>
      </c>
      <c r="P128" s="3">
        <f t="shared" si="41"/>
        <v>0.91686322655594599</v>
      </c>
      <c r="Q128" s="3">
        <f t="shared" si="42"/>
        <v>1.4809701335017778</v>
      </c>
      <c r="R128" s="3">
        <f t="shared" si="43"/>
        <v>0.81471906892401369</v>
      </c>
      <c r="S128" s="3">
        <f t="shared" si="44"/>
        <v>1.2027932988319634</v>
      </c>
      <c r="T128" s="4">
        <f t="shared" si="45"/>
        <v>0.76902132307001603</v>
      </c>
      <c r="U128" s="1">
        <f t="shared" si="66"/>
        <v>1</v>
      </c>
      <c r="V128" s="3">
        <f t="shared" si="47"/>
        <v>0.23097867692998397</v>
      </c>
      <c r="W128" s="3">
        <f t="shared" si="67"/>
        <v>2.6675574598162954E-2</v>
      </c>
      <c r="X128" s="5" t="str">
        <f t="shared" si="61"/>
        <v>PASS</v>
      </c>
      <c r="Y128" s="3">
        <f t="shared" si="68"/>
        <v>4.1028171342264372E-2</v>
      </c>
      <c r="Z128" s="3">
        <f t="shared" si="69"/>
        <v>1.3175135530950255E-2</v>
      </c>
      <c r="AA128" s="3">
        <f t="shared" si="70"/>
        <v>2.5932503238033429E-2</v>
      </c>
      <c r="AB128" s="3">
        <f t="shared" si="71"/>
        <v>3.8811722832468929</v>
      </c>
      <c r="AC128" s="3">
        <f t="shared" si="72"/>
        <v>4.1140947451618368</v>
      </c>
      <c r="AD128" s="3">
        <f t="shared" si="73"/>
        <v>-1.4148254219799778</v>
      </c>
      <c r="AE128" s="3">
        <f t="shared" si="74"/>
        <v>-3.5578123650430142</v>
      </c>
      <c r="AF128" s="3">
        <f t="shared" si="75"/>
        <v>-3.2252765028133394</v>
      </c>
      <c r="AG128" s="3">
        <f t="shared" si="76"/>
        <v>5.1684450147349592</v>
      </c>
      <c r="AH128" s="3">
        <f t="shared" si="77"/>
        <v>4.3068854372070682</v>
      </c>
      <c r="AI128" s="3">
        <f t="shared" si="78"/>
        <v>4.2707657864876696</v>
      </c>
      <c r="AJ128" s="11">
        <f t="shared" si="79"/>
        <v>-5.9686279764508674</v>
      </c>
    </row>
    <row r="129" spans="1:36" ht="18" customHeight="1" x14ac:dyDescent="0.25">
      <c r="A129" s="18">
        <f t="shared" si="63"/>
        <v>28</v>
      </c>
      <c r="B129" s="2">
        <v>112</v>
      </c>
      <c r="C129" s="2">
        <v>1</v>
      </c>
      <c r="D129" s="2">
        <v>1</v>
      </c>
      <c r="E129" s="2">
        <v>0</v>
      </c>
      <c r="F129" s="3">
        <f t="shared" si="65"/>
        <v>3.8811722832468929</v>
      </c>
      <c r="G129" s="3">
        <f t="shared" si="65"/>
        <v>4.1140947451618368</v>
      </c>
      <c r="H129" s="3">
        <f t="shared" si="65"/>
        <v>-1.4148254219799778</v>
      </c>
      <c r="I129" s="3">
        <f t="shared" si="64"/>
        <v>-3.5578123650430142</v>
      </c>
      <c r="J129" s="3">
        <f t="shared" si="64"/>
        <v>-3.2252765028133394</v>
      </c>
      <c r="K129" s="3">
        <f t="shared" si="64"/>
        <v>5.1684450147349592</v>
      </c>
      <c r="L129" s="3">
        <f t="shared" si="64"/>
        <v>4.3068854372070682</v>
      </c>
      <c r="M129" s="3">
        <f t="shared" si="64"/>
        <v>4.2707657864876696</v>
      </c>
      <c r="N129" s="3">
        <f t="shared" si="64"/>
        <v>-5.9686279764508674</v>
      </c>
      <c r="O129" s="3">
        <f t="shared" si="40"/>
        <v>6.5804416064287521</v>
      </c>
      <c r="P129" s="3">
        <f t="shared" si="41"/>
        <v>0.99861468521233065</v>
      </c>
      <c r="Q129" s="3">
        <f t="shared" si="42"/>
        <v>-1.614643853121394</v>
      </c>
      <c r="R129" s="3">
        <f t="shared" si="43"/>
        <v>0.16594487351658777</v>
      </c>
      <c r="S129" s="3">
        <f t="shared" si="44"/>
        <v>-0.95899724307109313</v>
      </c>
      <c r="T129" s="4">
        <f t="shared" si="45"/>
        <v>0.27707900843136885</v>
      </c>
      <c r="U129" s="1">
        <f t="shared" si="66"/>
        <v>0</v>
      </c>
      <c r="V129" s="3">
        <f t="shared" si="47"/>
        <v>-0.27707900843136885</v>
      </c>
      <c r="W129" s="3">
        <f t="shared" si="67"/>
        <v>3.8386388456655283E-2</v>
      </c>
      <c r="X129" s="5" t="str">
        <f t="shared" si="61"/>
        <v>PASS</v>
      </c>
      <c r="Y129" s="3">
        <f t="shared" si="68"/>
        <v>-5.5500652011647791E-2</v>
      </c>
      <c r="Z129" s="3">
        <f t="shared" si="69"/>
        <v>-3.306799196026313E-4</v>
      </c>
      <c r="AA129" s="3">
        <f t="shared" si="70"/>
        <v>-3.2806691638941371E-2</v>
      </c>
      <c r="AB129" s="3">
        <f t="shared" si="71"/>
        <v>3.8803455834478862</v>
      </c>
      <c r="AC129" s="3">
        <f t="shared" si="72"/>
        <v>4.1132680453628305</v>
      </c>
      <c r="AD129" s="3">
        <f t="shared" si="73"/>
        <v>-1.4156521217789844</v>
      </c>
      <c r="AE129" s="3">
        <f t="shared" si="74"/>
        <v>-3.6398290941403677</v>
      </c>
      <c r="AF129" s="3">
        <f t="shared" si="75"/>
        <v>-3.3072932319106929</v>
      </c>
      <c r="AG129" s="3">
        <f t="shared" si="76"/>
        <v>5.0864282856376057</v>
      </c>
      <c r="AH129" s="3">
        <f t="shared" si="77"/>
        <v>4.1683260218628408</v>
      </c>
      <c r="AI129" s="3">
        <f t="shared" si="78"/>
        <v>4.2477406647922669</v>
      </c>
      <c r="AJ129" s="11">
        <f t="shared" si="79"/>
        <v>-6.107379606479987</v>
      </c>
    </row>
    <row r="130" spans="1:36" ht="18" customHeight="1" x14ac:dyDescent="0.25">
      <c r="A130" s="18">
        <f t="shared" si="63"/>
        <v>29</v>
      </c>
      <c r="B130" s="2">
        <v>113</v>
      </c>
      <c r="C130" s="2">
        <v>0</v>
      </c>
      <c r="D130" s="2">
        <v>0</v>
      </c>
      <c r="E130" s="2">
        <v>0</v>
      </c>
      <c r="F130" s="3">
        <f t="shared" si="65"/>
        <v>3.8803455834478862</v>
      </c>
      <c r="G130" s="3">
        <f t="shared" si="65"/>
        <v>4.1132680453628305</v>
      </c>
      <c r="H130" s="3">
        <f t="shared" si="65"/>
        <v>-1.4156521217789844</v>
      </c>
      <c r="I130" s="3">
        <f t="shared" si="64"/>
        <v>-3.6398290941403677</v>
      </c>
      <c r="J130" s="3">
        <f t="shared" si="64"/>
        <v>-3.3072932319106929</v>
      </c>
      <c r="K130" s="3">
        <f t="shared" si="64"/>
        <v>5.0864282856376057</v>
      </c>
      <c r="L130" s="3">
        <f t="shared" si="64"/>
        <v>4.1683260218628408</v>
      </c>
      <c r="M130" s="3">
        <f t="shared" si="64"/>
        <v>4.2477406647922669</v>
      </c>
      <c r="N130" s="3">
        <f t="shared" si="64"/>
        <v>-6.107379606479987</v>
      </c>
      <c r="O130" s="3">
        <f t="shared" si="40"/>
        <v>-1.4156521217789844</v>
      </c>
      <c r="P130" s="3">
        <f t="shared" si="41"/>
        <v>0.19534409874179387</v>
      </c>
      <c r="Q130" s="3">
        <f t="shared" si="42"/>
        <v>5.0864282856376057</v>
      </c>
      <c r="R130" s="3">
        <f t="shared" si="43"/>
        <v>0.99385790457934531</v>
      </c>
      <c r="S130" s="3">
        <f t="shared" si="44"/>
        <v>-1.0714710801703058</v>
      </c>
      <c r="T130" s="4">
        <f t="shared" si="45"/>
        <v>0.25512342607878791</v>
      </c>
      <c r="U130" s="1">
        <f t="shared" si="66"/>
        <v>0</v>
      </c>
      <c r="V130" s="3">
        <f t="shared" si="47"/>
        <v>-0.25512342607878791</v>
      </c>
      <c r="W130" s="3">
        <f t="shared" si="67"/>
        <v>3.2543981267089378E-2</v>
      </c>
      <c r="X130" s="5" t="str">
        <f t="shared" si="61"/>
        <v>PASS</v>
      </c>
      <c r="Y130" s="3">
        <f t="shared" si="68"/>
        <v>-4.8482498535971287E-2</v>
      </c>
      <c r="Z130" s="3">
        <f t="shared" si="69"/>
        <v>-3.1765607778320062E-2</v>
      </c>
      <c r="AA130" s="3">
        <f t="shared" si="70"/>
        <v>-1.2571405713517779E-3</v>
      </c>
      <c r="AB130" s="3">
        <f t="shared" si="71"/>
        <v>3.8803455834478862</v>
      </c>
      <c r="AC130" s="3">
        <f t="shared" si="72"/>
        <v>4.1132680453628305</v>
      </c>
      <c r="AD130" s="3">
        <f t="shared" si="73"/>
        <v>-1.4950661412247845</v>
      </c>
      <c r="AE130" s="3">
        <f t="shared" si="74"/>
        <v>-3.6398290941403677</v>
      </c>
      <c r="AF130" s="3">
        <f t="shared" si="75"/>
        <v>-3.3072932319106929</v>
      </c>
      <c r="AG130" s="3">
        <f t="shared" si="76"/>
        <v>5.083285434209226</v>
      </c>
      <c r="AH130" s="3">
        <f t="shared" si="77"/>
        <v>4.1446490969096921</v>
      </c>
      <c r="AI130" s="3">
        <f t="shared" si="78"/>
        <v>4.1272788787829375</v>
      </c>
      <c r="AJ130" s="11">
        <f t="shared" si="79"/>
        <v>-6.2285858528199149</v>
      </c>
    </row>
    <row r="131" spans="1:36" ht="18" customHeight="1" x14ac:dyDescent="0.25">
      <c r="A131" s="18">
        <f t="shared" si="63"/>
        <v>29</v>
      </c>
      <c r="B131" s="2">
        <v>114</v>
      </c>
      <c r="C131" s="2">
        <v>0</v>
      </c>
      <c r="D131" s="2">
        <v>1</v>
      </c>
      <c r="E131" s="2">
        <v>1</v>
      </c>
      <c r="F131" s="3">
        <f t="shared" si="65"/>
        <v>3.8803455834478862</v>
      </c>
      <c r="G131" s="3">
        <f t="shared" si="65"/>
        <v>4.1132680453628305</v>
      </c>
      <c r="H131" s="3">
        <f t="shared" si="65"/>
        <v>-1.4950661412247845</v>
      </c>
      <c r="I131" s="3">
        <f t="shared" si="64"/>
        <v>-3.6398290941403677</v>
      </c>
      <c r="J131" s="3">
        <f t="shared" si="64"/>
        <v>-3.3072932319106929</v>
      </c>
      <c r="K131" s="3">
        <f t="shared" si="64"/>
        <v>5.083285434209226</v>
      </c>
      <c r="L131" s="3">
        <f t="shared" si="64"/>
        <v>4.1446490969096921</v>
      </c>
      <c r="M131" s="3">
        <f t="shared" si="64"/>
        <v>4.1272788787829375</v>
      </c>
      <c r="N131" s="3">
        <f t="shared" si="64"/>
        <v>-6.2285858528199149</v>
      </c>
      <c r="O131" s="3">
        <f t="shared" si="40"/>
        <v>2.6182019041380462</v>
      </c>
      <c r="P131" s="3">
        <f t="shared" si="41"/>
        <v>0.93202387584969904</v>
      </c>
      <c r="Q131" s="3">
        <f t="shared" si="42"/>
        <v>1.7759922022985331</v>
      </c>
      <c r="R131" s="3">
        <f t="shared" si="43"/>
        <v>0.85520127826591108</v>
      </c>
      <c r="S131" s="3">
        <f t="shared" si="44"/>
        <v>1.1639802354138755</v>
      </c>
      <c r="T131" s="4">
        <f t="shared" si="45"/>
        <v>0.76205519191351345</v>
      </c>
      <c r="U131" s="1">
        <f t="shared" si="66"/>
        <v>1</v>
      </c>
      <c r="V131" s="3">
        <f t="shared" si="47"/>
        <v>0.23794480808648655</v>
      </c>
      <c r="W131" s="3">
        <f t="shared" si="67"/>
        <v>2.8308865847657457E-2</v>
      </c>
      <c r="X131" s="5" t="str">
        <f t="shared" si="61"/>
        <v>PASS</v>
      </c>
      <c r="Y131" s="3">
        <f t="shared" si="68"/>
        <v>4.3145836392781016E-2</v>
      </c>
      <c r="Z131" s="3">
        <f t="shared" si="69"/>
        <v>1.1329483100307767E-2</v>
      </c>
      <c r="AA131" s="3">
        <f t="shared" si="70"/>
        <v>2.2051380169432502E-2</v>
      </c>
      <c r="AB131" s="3">
        <f t="shared" si="71"/>
        <v>3.8803455834478862</v>
      </c>
      <c r="AC131" s="3">
        <f t="shared" si="72"/>
        <v>4.1415917531135999</v>
      </c>
      <c r="AD131" s="3">
        <f t="shared" si="73"/>
        <v>-1.4667424334740151</v>
      </c>
      <c r="AE131" s="3">
        <f t="shared" si="74"/>
        <v>-3.6398290941403677</v>
      </c>
      <c r="AF131" s="3">
        <f t="shared" si="75"/>
        <v>-3.2521647814871115</v>
      </c>
      <c r="AG131" s="3">
        <f t="shared" si="76"/>
        <v>5.1384138846328069</v>
      </c>
      <c r="AH131" s="3">
        <f t="shared" si="77"/>
        <v>4.245181471063634</v>
      </c>
      <c r="AI131" s="3">
        <f t="shared" si="78"/>
        <v>4.2195248148703328</v>
      </c>
      <c r="AJ131" s="11">
        <f t="shared" si="79"/>
        <v>-6.1207212618379625</v>
      </c>
    </row>
    <row r="132" spans="1:36" ht="18" customHeight="1" x14ac:dyDescent="0.25">
      <c r="A132" s="18">
        <f t="shared" si="63"/>
        <v>29</v>
      </c>
      <c r="B132" s="2">
        <v>115</v>
      </c>
      <c r="C132" s="2">
        <v>1</v>
      </c>
      <c r="D132" s="2">
        <v>0</v>
      </c>
      <c r="E132" s="2">
        <v>1</v>
      </c>
      <c r="F132" s="3">
        <f t="shared" si="65"/>
        <v>3.8803455834478862</v>
      </c>
      <c r="G132" s="3">
        <f t="shared" si="65"/>
        <v>4.1415917531135999</v>
      </c>
      <c r="H132" s="3">
        <f t="shared" si="65"/>
        <v>-1.4667424334740151</v>
      </c>
      <c r="I132" s="3">
        <f t="shared" si="64"/>
        <v>-3.6398290941403677</v>
      </c>
      <c r="J132" s="3">
        <f t="shared" si="64"/>
        <v>-3.2521647814871115</v>
      </c>
      <c r="K132" s="3">
        <f t="shared" si="64"/>
        <v>5.1384138846328069</v>
      </c>
      <c r="L132" s="3">
        <f t="shared" si="64"/>
        <v>4.245181471063634</v>
      </c>
      <c r="M132" s="3">
        <f t="shared" si="64"/>
        <v>4.2195248148703328</v>
      </c>
      <c r="N132" s="3">
        <f t="shared" si="64"/>
        <v>-6.1207212618379625</v>
      </c>
      <c r="O132" s="3">
        <f t="shared" si="40"/>
        <v>2.4136031499738708</v>
      </c>
      <c r="P132" s="3">
        <f t="shared" si="41"/>
        <v>0.91785874733314443</v>
      </c>
      <c r="Q132" s="3">
        <f t="shared" si="42"/>
        <v>1.4985847904924392</v>
      </c>
      <c r="R132" s="3">
        <f t="shared" si="43"/>
        <v>0.81736330784557554</v>
      </c>
      <c r="S132" s="3">
        <f t="shared" si="44"/>
        <v>1.2246404456132849</v>
      </c>
      <c r="T132" s="4">
        <f t="shared" si="45"/>
        <v>0.77287915050202682</v>
      </c>
      <c r="U132" s="1">
        <f t="shared" si="66"/>
        <v>1</v>
      </c>
      <c r="V132" s="3">
        <f t="shared" si="47"/>
        <v>0.22712084949797318</v>
      </c>
      <c r="W132" s="3">
        <f t="shared" si="67"/>
        <v>2.5791940138340491E-2</v>
      </c>
      <c r="X132" s="5" t="str">
        <f t="shared" si="61"/>
        <v>PASS</v>
      </c>
      <c r="Y132" s="3">
        <f t="shared" si="68"/>
        <v>3.9868105567839457E-2</v>
      </c>
      <c r="Z132" s="3">
        <f t="shared" si="69"/>
        <v>1.2760245567867191E-2</v>
      </c>
      <c r="AA132" s="3">
        <f t="shared" si="70"/>
        <v>2.5112636802202316E-2</v>
      </c>
      <c r="AB132" s="3">
        <f t="shared" si="71"/>
        <v>3.912246197367554</v>
      </c>
      <c r="AC132" s="3">
        <f t="shared" si="72"/>
        <v>4.1415917531135999</v>
      </c>
      <c r="AD132" s="3">
        <f t="shared" si="73"/>
        <v>-1.4348418195543471</v>
      </c>
      <c r="AE132" s="3">
        <f t="shared" si="74"/>
        <v>-3.577047502134862</v>
      </c>
      <c r="AF132" s="3">
        <f t="shared" si="75"/>
        <v>-3.2521647814871115</v>
      </c>
      <c r="AG132" s="3">
        <f t="shared" si="76"/>
        <v>5.2011954766383131</v>
      </c>
      <c r="AH132" s="3">
        <f t="shared" si="77"/>
        <v>4.3366646946512404</v>
      </c>
      <c r="AI132" s="3">
        <f t="shared" si="78"/>
        <v>4.3009916314814971</v>
      </c>
      <c r="AJ132" s="11">
        <f t="shared" si="79"/>
        <v>-6.0210509979183637</v>
      </c>
    </row>
    <row r="133" spans="1:36" ht="18" customHeight="1" x14ac:dyDescent="0.25">
      <c r="A133" s="18">
        <f t="shared" si="63"/>
        <v>29</v>
      </c>
      <c r="B133" s="2">
        <v>116</v>
      </c>
      <c r="C133" s="2">
        <v>1</v>
      </c>
      <c r="D133" s="2">
        <v>1</v>
      </c>
      <c r="E133" s="2">
        <v>0</v>
      </c>
      <c r="F133" s="3">
        <f t="shared" si="65"/>
        <v>3.912246197367554</v>
      </c>
      <c r="G133" s="3">
        <f t="shared" si="65"/>
        <v>4.1415917531135999</v>
      </c>
      <c r="H133" s="3">
        <f t="shared" si="65"/>
        <v>-1.4348418195543471</v>
      </c>
      <c r="I133" s="3">
        <f t="shared" si="64"/>
        <v>-3.577047502134862</v>
      </c>
      <c r="J133" s="3">
        <f t="shared" si="64"/>
        <v>-3.2521647814871115</v>
      </c>
      <c r="K133" s="3">
        <f t="shared" si="64"/>
        <v>5.2011954766383131</v>
      </c>
      <c r="L133" s="3">
        <f t="shared" si="64"/>
        <v>4.3366646946512404</v>
      </c>
      <c r="M133" s="3">
        <f t="shared" si="64"/>
        <v>4.3009916314814971</v>
      </c>
      <c r="N133" s="3">
        <f t="shared" si="64"/>
        <v>-6.0210509979183637</v>
      </c>
      <c r="O133" s="3">
        <f t="shared" si="40"/>
        <v>6.6189961309268064</v>
      </c>
      <c r="P133" s="3">
        <f t="shared" si="41"/>
        <v>0.99866700902882521</v>
      </c>
      <c r="Q133" s="3">
        <f t="shared" si="42"/>
        <v>-1.6280168069836609</v>
      </c>
      <c r="R133" s="3">
        <f t="shared" si="43"/>
        <v>0.16410221993922294</v>
      </c>
      <c r="S133" s="3">
        <f t="shared" si="44"/>
        <v>-0.98436476348397228</v>
      </c>
      <c r="T133" s="4">
        <f t="shared" si="45"/>
        <v>0.27202657820730558</v>
      </c>
      <c r="U133" s="1">
        <f t="shared" si="66"/>
        <v>0</v>
      </c>
      <c r="V133" s="3">
        <f t="shared" si="47"/>
        <v>-0.27202657820730558</v>
      </c>
      <c r="W133" s="3">
        <f t="shared" si="67"/>
        <v>3.6999229625587667E-2</v>
      </c>
      <c r="X133" s="5" t="str">
        <f t="shared" si="61"/>
        <v>PASS</v>
      </c>
      <c r="Y133" s="3">
        <f t="shared" si="68"/>
        <v>-5.3868911588465372E-2</v>
      </c>
      <c r="Z133" s="3">
        <f t="shared" si="69"/>
        <v>-3.1098680041153373E-4</v>
      </c>
      <c r="AA133" s="3">
        <f t="shared" si="70"/>
        <v>-3.1781502594428336E-2</v>
      </c>
      <c r="AB133" s="3">
        <f t="shared" si="71"/>
        <v>3.9114687303665252</v>
      </c>
      <c r="AC133" s="3">
        <f t="shared" si="72"/>
        <v>4.1408142861125707</v>
      </c>
      <c r="AD133" s="3">
        <f t="shared" si="73"/>
        <v>-1.4356192865553759</v>
      </c>
      <c r="AE133" s="3">
        <f t="shared" si="74"/>
        <v>-3.6565012586209327</v>
      </c>
      <c r="AF133" s="3">
        <f t="shared" si="75"/>
        <v>-3.3316185379731822</v>
      </c>
      <c r="AG133" s="3">
        <f t="shared" si="76"/>
        <v>5.1217417201522419</v>
      </c>
      <c r="AH133" s="3">
        <f t="shared" si="77"/>
        <v>4.2021719326120133</v>
      </c>
      <c r="AI133" s="3">
        <f t="shared" si="78"/>
        <v>4.2788916115380546</v>
      </c>
      <c r="AJ133" s="11">
        <f t="shared" si="79"/>
        <v>-6.1557232768895274</v>
      </c>
    </row>
    <row r="134" spans="1:36" ht="18" customHeight="1" x14ac:dyDescent="0.25">
      <c r="A134" s="18">
        <f t="shared" si="63"/>
        <v>30</v>
      </c>
      <c r="B134" s="2">
        <v>117</v>
      </c>
      <c r="C134" s="2">
        <v>0</v>
      </c>
      <c r="D134" s="2">
        <v>0</v>
      </c>
      <c r="E134" s="2">
        <v>0</v>
      </c>
      <c r="F134" s="3">
        <f t="shared" si="65"/>
        <v>3.9114687303665252</v>
      </c>
      <c r="G134" s="3">
        <f t="shared" si="65"/>
        <v>4.1408142861125707</v>
      </c>
      <c r="H134" s="3">
        <f t="shared" si="65"/>
        <v>-1.4356192865553759</v>
      </c>
      <c r="I134" s="3">
        <f t="shared" si="64"/>
        <v>-3.6565012586209327</v>
      </c>
      <c r="J134" s="3">
        <f t="shared" si="64"/>
        <v>-3.3316185379731822</v>
      </c>
      <c r="K134" s="3">
        <f t="shared" si="64"/>
        <v>5.1217417201522419</v>
      </c>
      <c r="L134" s="3">
        <f t="shared" si="64"/>
        <v>4.2021719326120133</v>
      </c>
      <c r="M134" s="3">
        <f t="shared" si="64"/>
        <v>4.2788916115380546</v>
      </c>
      <c r="N134" s="3">
        <f t="shared" si="64"/>
        <v>-6.1557232768895274</v>
      </c>
      <c r="O134" s="3">
        <f t="shared" si="40"/>
        <v>-1.4356192865553759</v>
      </c>
      <c r="P134" s="3">
        <f t="shared" si="41"/>
        <v>0.19222464394363956</v>
      </c>
      <c r="Q134" s="3">
        <f t="shared" si="42"/>
        <v>5.1217417201522419</v>
      </c>
      <c r="R134" s="3">
        <f t="shared" si="43"/>
        <v>0.99406975421833299</v>
      </c>
      <c r="S134" s="3">
        <f t="shared" si="44"/>
        <v>-1.0944455407447062</v>
      </c>
      <c r="T134" s="4">
        <f t="shared" si="45"/>
        <v>0.25078207878540337</v>
      </c>
      <c r="U134" s="1">
        <f t="shared" si="66"/>
        <v>0</v>
      </c>
      <c r="V134" s="3">
        <f t="shared" si="47"/>
        <v>-0.25078207878540337</v>
      </c>
      <c r="W134" s="3">
        <f t="shared" si="67"/>
        <v>3.1445825519964131E-2</v>
      </c>
      <c r="X134" s="5" t="str">
        <f t="shared" si="61"/>
        <v>PASS</v>
      </c>
      <c r="Y134" s="3">
        <f t="shared" si="68"/>
        <v>-4.7119552053888875E-2</v>
      </c>
      <c r="Z134" s="3">
        <f t="shared" si="69"/>
        <v>-3.0745009767044026E-2</v>
      </c>
      <c r="AA134" s="3">
        <f t="shared" si="70"/>
        <v>-1.1885624128452434E-3</v>
      </c>
      <c r="AB134" s="3">
        <f t="shared" si="71"/>
        <v>3.9114687303665252</v>
      </c>
      <c r="AC134" s="3">
        <f t="shared" si="72"/>
        <v>4.1408142861125707</v>
      </c>
      <c r="AD134" s="3">
        <f t="shared" si="73"/>
        <v>-1.5124818109729858</v>
      </c>
      <c r="AE134" s="3">
        <f t="shared" si="74"/>
        <v>-3.6565012586209327</v>
      </c>
      <c r="AF134" s="3">
        <f t="shared" si="75"/>
        <v>-3.3316185379731822</v>
      </c>
      <c r="AG134" s="3">
        <f t="shared" si="76"/>
        <v>5.1187703141201286</v>
      </c>
      <c r="AH134" s="3">
        <f t="shared" si="77"/>
        <v>4.1795280848211567</v>
      </c>
      <c r="AI134" s="3">
        <f t="shared" si="78"/>
        <v>4.1617913077153368</v>
      </c>
      <c r="AJ134" s="11">
        <f t="shared" si="79"/>
        <v>-6.2735221570242494</v>
      </c>
    </row>
    <row r="135" spans="1:36" ht="18" customHeight="1" x14ac:dyDescent="0.25">
      <c r="A135" s="18">
        <f t="shared" si="63"/>
        <v>30</v>
      </c>
      <c r="B135" s="2">
        <v>118</v>
      </c>
      <c r="C135" s="2">
        <v>0</v>
      </c>
      <c r="D135" s="2">
        <v>1</v>
      </c>
      <c r="E135" s="2">
        <v>1</v>
      </c>
      <c r="F135" s="3">
        <f t="shared" si="65"/>
        <v>3.9114687303665252</v>
      </c>
      <c r="G135" s="3">
        <f t="shared" si="65"/>
        <v>4.1408142861125707</v>
      </c>
      <c r="H135" s="3">
        <f t="shared" si="65"/>
        <v>-1.5124818109729858</v>
      </c>
      <c r="I135" s="3">
        <f t="shared" si="64"/>
        <v>-3.6565012586209327</v>
      </c>
      <c r="J135" s="3">
        <f t="shared" si="64"/>
        <v>-3.3316185379731822</v>
      </c>
      <c r="K135" s="3">
        <f t="shared" si="64"/>
        <v>5.1187703141201286</v>
      </c>
      <c r="L135" s="3">
        <f t="shared" si="64"/>
        <v>4.1795280848211567</v>
      </c>
      <c r="M135" s="3">
        <f t="shared" si="64"/>
        <v>4.1617913077153368</v>
      </c>
      <c r="N135" s="3">
        <f t="shared" si="64"/>
        <v>-6.2735221570242494</v>
      </c>
      <c r="O135" s="3">
        <f t="shared" si="40"/>
        <v>2.6283324751395849</v>
      </c>
      <c r="P135" s="3">
        <f t="shared" si="41"/>
        <v>0.93266289968296889</v>
      </c>
      <c r="Q135" s="3">
        <f t="shared" si="42"/>
        <v>1.7871517761469464</v>
      </c>
      <c r="R135" s="3">
        <f t="shared" si="43"/>
        <v>0.85657772083571504</v>
      </c>
      <c r="S135" s="3">
        <f t="shared" si="44"/>
        <v>1.189466338828149</v>
      </c>
      <c r="T135" s="4">
        <f t="shared" si="45"/>
        <v>0.76664560576621787</v>
      </c>
      <c r="U135" s="1">
        <f t="shared" si="66"/>
        <v>1</v>
      </c>
      <c r="V135" s="3">
        <f t="shared" si="47"/>
        <v>0.23335439423378213</v>
      </c>
      <c r="W135" s="3">
        <f t="shared" si="67"/>
        <v>2.7227136654107705E-2</v>
      </c>
      <c r="X135" s="5" t="str">
        <f t="shared" si="61"/>
        <v>PASS</v>
      </c>
      <c r="Y135" s="3">
        <f t="shared" si="68"/>
        <v>4.1747129346935995E-2</v>
      </c>
      <c r="Z135" s="3">
        <f t="shared" si="69"/>
        <v>1.0958042424758388E-2</v>
      </c>
      <c r="AA135" s="3">
        <f t="shared" si="70"/>
        <v>2.1344712546387364E-2</v>
      </c>
      <c r="AB135" s="3">
        <f t="shared" si="71"/>
        <v>3.9114687303665252</v>
      </c>
      <c r="AC135" s="3">
        <f t="shared" si="72"/>
        <v>4.1682093921744663</v>
      </c>
      <c r="AD135" s="3">
        <f t="shared" si="73"/>
        <v>-1.4850867049110898</v>
      </c>
      <c r="AE135" s="3">
        <f t="shared" si="74"/>
        <v>-3.6565012586209327</v>
      </c>
      <c r="AF135" s="3">
        <f t="shared" si="75"/>
        <v>-3.2782567566072136</v>
      </c>
      <c r="AG135" s="3">
        <f t="shared" si="76"/>
        <v>5.1721320954860968</v>
      </c>
      <c r="AH135" s="3">
        <f t="shared" si="77"/>
        <v>4.2768680815965396</v>
      </c>
      <c r="AI135" s="3">
        <f t="shared" si="78"/>
        <v>4.251190459983917</v>
      </c>
      <c r="AJ135" s="11">
        <f t="shared" si="79"/>
        <v>-6.169154333656909</v>
      </c>
    </row>
    <row r="136" spans="1:36" ht="18" customHeight="1" x14ac:dyDescent="0.25">
      <c r="A136" s="18">
        <f t="shared" si="63"/>
        <v>30</v>
      </c>
      <c r="B136" s="2">
        <v>119</v>
      </c>
      <c r="C136" s="2">
        <v>1</v>
      </c>
      <c r="D136" s="2">
        <v>0</v>
      </c>
      <c r="E136" s="2">
        <v>1</v>
      </c>
      <c r="F136" s="3">
        <f t="shared" si="65"/>
        <v>3.9114687303665252</v>
      </c>
      <c r="G136" s="3">
        <f t="shared" si="65"/>
        <v>4.1682093921744663</v>
      </c>
      <c r="H136" s="3">
        <f t="shared" si="65"/>
        <v>-1.4850867049110898</v>
      </c>
      <c r="I136" s="3">
        <f t="shared" si="64"/>
        <v>-3.6565012586209327</v>
      </c>
      <c r="J136" s="3">
        <f t="shared" si="64"/>
        <v>-3.2782567566072136</v>
      </c>
      <c r="K136" s="3">
        <f t="shared" si="64"/>
        <v>5.1721320954860968</v>
      </c>
      <c r="L136" s="3">
        <f t="shared" si="64"/>
        <v>4.2768680815965396</v>
      </c>
      <c r="M136" s="3">
        <f t="shared" si="64"/>
        <v>4.251190459983917</v>
      </c>
      <c r="N136" s="3">
        <f t="shared" si="64"/>
        <v>-6.169154333656909</v>
      </c>
      <c r="O136" s="3">
        <f t="shared" si="40"/>
        <v>2.4263820254554354</v>
      </c>
      <c r="P136" s="3">
        <f t="shared" si="41"/>
        <v>0.91881706848021216</v>
      </c>
      <c r="Q136" s="3">
        <f t="shared" si="42"/>
        <v>1.5156308368651641</v>
      </c>
      <c r="R136" s="3">
        <f t="shared" si="43"/>
        <v>0.81989419783161221</v>
      </c>
      <c r="S136" s="3">
        <f t="shared" si="44"/>
        <v>1.2460314513701283</v>
      </c>
      <c r="T136" s="4">
        <f t="shared" si="45"/>
        <v>0.77661213047956956</v>
      </c>
      <c r="U136" s="1">
        <f t="shared" si="66"/>
        <v>1</v>
      </c>
      <c r="V136" s="3">
        <f t="shared" si="47"/>
        <v>0.22338786952043044</v>
      </c>
      <c r="W136" s="3">
        <f t="shared" si="67"/>
        <v>2.4951070124438427E-2</v>
      </c>
      <c r="X136" s="5" t="str">
        <f t="shared" si="61"/>
        <v>PASS</v>
      </c>
      <c r="Y136" s="3">
        <f t="shared" si="68"/>
        <v>3.8754607454170531E-2</v>
      </c>
      <c r="Z136" s="3">
        <f t="shared" si="69"/>
        <v>1.2363544065079762E-2</v>
      </c>
      <c r="AA136" s="3">
        <f t="shared" si="70"/>
        <v>2.4328729055701812E-2</v>
      </c>
      <c r="AB136" s="3">
        <f t="shared" si="71"/>
        <v>3.9423775905292247</v>
      </c>
      <c r="AC136" s="3">
        <f t="shared" si="72"/>
        <v>4.1682093921744663</v>
      </c>
      <c r="AD136" s="3">
        <f t="shared" si="73"/>
        <v>-1.4541778447483904</v>
      </c>
      <c r="AE136" s="3">
        <f t="shared" si="74"/>
        <v>-3.5956794359816779</v>
      </c>
      <c r="AF136" s="3">
        <f t="shared" si="75"/>
        <v>-3.2782567566072136</v>
      </c>
      <c r="AG136" s="3">
        <f t="shared" si="76"/>
        <v>5.232953918125351</v>
      </c>
      <c r="AH136" s="3">
        <f t="shared" si="77"/>
        <v>4.3658890686243952</v>
      </c>
      <c r="AI136" s="3">
        <f t="shared" si="78"/>
        <v>4.3306271544612072</v>
      </c>
      <c r="AJ136" s="11">
        <f t="shared" si="79"/>
        <v>-6.0722678150214824</v>
      </c>
    </row>
    <row r="137" spans="1:36" ht="18" customHeight="1" x14ac:dyDescent="0.25">
      <c r="A137" s="18">
        <f t="shared" si="63"/>
        <v>30</v>
      </c>
      <c r="B137" s="2">
        <v>120</v>
      </c>
      <c r="C137" s="2">
        <v>1</v>
      </c>
      <c r="D137" s="2">
        <v>1</v>
      </c>
      <c r="E137" s="2">
        <v>0</v>
      </c>
      <c r="F137" s="3">
        <f t="shared" si="65"/>
        <v>3.9423775905292247</v>
      </c>
      <c r="G137" s="3">
        <f t="shared" si="65"/>
        <v>4.1682093921744663</v>
      </c>
      <c r="H137" s="3">
        <f t="shared" si="65"/>
        <v>-1.4541778447483904</v>
      </c>
      <c r="I137" s="3">
        <f t="shared" si="64"/>
        <v>-3.5956794359816779</v>
      </c>
      <c r="J137" s="3">
        <f t="shared" si="64"/>
        <v>-3.2782567566072136</v>
      </c>
      <c r="K137" s="3">
        <f t="shared" si="64"/>
        <v>5.232953918125351</v>
      </c>
      <c r="L137" s="3">
        <f t="shared" si="64"/>
        <v>4.3658890686243952</v>
      </c>
      <c r="M137" s="3">
        <f t="shared" si="64"/>
        <v>4.3306271544612072</v>
      </c>
      <c r="N137" s="3">
        <f t="shared" si="64"/>
        <v>-6.0722678150214824</v>
      </c>
      <c r="O137" s="3">
        <f t="shared" si="40"/>
        <v>6.6564091379553005</v>
      </c>
      <c r="P137" s="3">
        <f t="shared" si="41"/>
        <v>0.99871589598334554</v>
      </c>
      <c r="Q137" s="3">
        <f t="shared" si="42"/>
        <v>-1.6409822744635401</v>
      </c>
      <c r="R137" s="3">
        <f t="shared" si="43"/>
        <v>0.16233144864206875</v>
      </c>
      <c r="S137" s="3">
        <f t="shared" si="44"/>
        <v>-1.008988022574008</v>
      </c>
      <c r="T137" s="4">
        <f t="shared" si="45"/>
        <v>0.26717794306820741</v>
      </c>
      <c r="U137" s="1">
        <f t="shared" si="66"/>
        <v>0</v>
      </c>
      <c r="V137" s="3">
        <f t="shared" si="47"/>
        <v>-0.26717794306820741</v>
      </c>
      <c r="W137" s="3">
        <f t="shared" si="67"/>
        <v>3.5692026631079142E-2</v>
      </c>
      <c r="X137" s="5" t="str">
        <f t="shared" si="61"/>
        <v>PASS</v>
      </c>
      <c r="Y137" s="3">
        <f t="shared" si="68"/>
        <v>-5.2311808743703475E-2</v>
      </c>
      <c r="Z137" s="3">
        <f t="shared" si="69"/>
        <v>-2.9289678186704296E-4</v>
      </c>
      <c r="AA137" s="3">
        <f t="shared" si="70"/>
        <v>-3.0805297447985318E-2</v>
      </c>
      <c r="AB137" s="3">
        <f t="shared" si="71"/>
        <v>3.9416453485745571</v>
      </c>
      <c r="AC137" s="3">
        <f t="shared" si="72"/>
        <v>4.1674771502197983</v>
      </c>
      <c r="AD137" s="3">
        <f t="shared" si="73"/>
        <v>-1.454910086703058</v>
      </c>
      <c r="AE137" s="3">
        <f t="shared" si="74"/>
        <v>-3.6726926796016413</v>
      </c>
      <c r="AF137" s="3">
        <f t="shared" si="75"/>
        <v>-3.3552700002271769</v>
      </c>
      <c r="AG137" s="3">
        <f t="shared" si="76"/>
        <v>5.1559406745053877</v>
      </c>
      <c r="AH137" s="3">
        <f t="shared" si="77"/>
        <v>4.2352774812744522</v>
      </c>
      <c r="AI137" s="3">
        <f t="shared" si="78"/>
        <v>4.3093975252250765</v>
      </c>
      <c r="AJ137" s="11">
        <f t="shared" si="79"/>
        <v>-6.2030473368807408</v>
      </c>
    </row>
    <row r="138" spans="1:36" ht="18" customHeight="1" x14ac:dyDescent="0.25">
      <c r="A138" s="18">
        <f t="shared" si="63"/>
        <v>31</v>
      </c>
      <c r="B138" s="2">
        <v>121</v>
      </c>
      <c r="C138" s="2">
        <v>0</v>
      </c>
      <c r="D138" s="2">
        <v>0</v>
      </c>
      <c r="E138" s="2">
        <v>0</v>
      </c>
      <c r="F138" s="3">
        <f t="shared" si="65"/>
        <v>3.9416453485745571</v>
      </c>
      <c r="G138" s="3">
        <f t="shared" si="65"/>
        <v>4.1674771502197983</v>
      </c>
      <c r="H138" s="3">
        <f t="shared" si="65"/>
        <v>-1.454910086703058</v>
      </c>
      <c r="I138" s="3">
        <f t="shared" si="64"/>
        <v>-3.6726926796016413</v>
      </c>
      <c r="J138" s="3">
        <f t="shared" si="64"/>
        <v>-3.3552700002271769</v>
      </c>
      <c r="K138" s="3">
        <f t="shared" si="64"/>
        <v>5.1559406745053877</v>
      </c>
      <c r="L138" s="3">
        <f t="shared" si="64"/>
        <v>4.2352774812744522</v>
      </c>
      <c r="M138" s="3">
        <f t="shared" si="64"/>
        <v>4.3093975252250765</v>
      </c>
      <c r="N138" s="3">
        <f t="shared" si="64"/>
        <v>-6.2030473368807408</v>
      </c>
      <c r="O138" s="3">
        <f t="shared" si="40"/>
        <v>-1.454910086703058</v>
      </c>
      <c r="P138" s="3">
        <f t="shared" si="41"/>
        <v>0.18924704888526236</v>
      </c>
      <c r="Q138" s="3">
        <f t="shared" si="42"/>
        <v>5.1559406745053877</v>
      </c>
      <c r="R138" s="3">
        <f t="shared" si="43"/>
        <v>0.99426799086112327</v>
      </c>
      <c r="S138" s="3">
        <f t="shared" si="44"/>
        <v>-1.1168375531119104</v>
      </c>
      <c r="T138" s="4">
        <f t="shared" si="45"/>
        <v>0.24659835603902891</v>
      </c>
      <c r="U138" s="1">
        <f t="shared" si="66"/>
        <v>0</v>
      </c>
      <c r="V138" s="3">
        <f t="shared" si="47"/>
        <v>-0.24659835603902891</v>
      </c>
      <c r="W138" s="3">
        <f t="shared" si="67"/>
        <v>3.0405374600575834E-2</v>
      </c>
      <c r="X138" s="5" t="str">
        <f t="shared" si="61"/>
        <v>PASS</v>
      </c>
      <c r="Y138" s="3">
        <f t="shared" si="68"/>
        <v>-4.5814918418645975E-2</v>
      </c>
      <c r="Z138" s="3">
        <f t="shared" si="69"/>
        <v>-2.9771892398981436E-2</v>
      </c>
      <c r="AA138" s="3">
        <f t="shared" si="70"/>
        <v>-1.1252105817898636E-3</v>
      </c>
      <c r="AB138" s="3">
        <f t="shared" si="71"/>
        <v>3.9416453485745571</v>
      </c>
      <c r="AC138" s="3">
        <f t="shared" si="72"/>
        <v>4.1674771502197983</v>
      </c>
      <c r="AD138" s="3">
        <f t="shared" si="73"/>
        <v>-1.5293398177005115</v>
      </c>
      <c r="AE138" s="3">
        <f t="shared" si="74"/>
        <v>-3.6726926796016413</v>
      </c>
      <c r="AF138" s="3">
        <f t="shared" si="75"/>
        <v>-3.3552700002271769</v>
      </c>
      <c r="AG138" s="3">
        <f t="shared" si="76"/>
        <v>5.1531276480509129</v>
      </c>
      <c r="AH138" s="3">
        <f t="shared" si="77"/>
        <v>4.213601636010333</v>
      </c>
      <c r="AI138" s="3">
        <f t="shared" si="78"/>
        <v>4.1955167580061428</v>
      </c>
      <c r="AJ138" s="11">
        <f t="shared" si="79"/>
        <v>-6.3175846329273559</v>
      </c>
    </row>
    <row r="139" spans="1:36" ht="18" customHeight="1" x14ac:dyDescent="0.25">
      <c r="A139" s="18">
        <f t="shared" si="63"/>
        <v>31</v>
      </c>
      <c r="B139" s="2">
        <v>122</v>
      </c>
      <c r="C139" s="2">
        <v>0</v>
      </c>
      <c r="D139" s="2">
        <v>1</v>
      </c>
      <c r="E139" s="2">
        <v>1</v>
      </c>
      <c r="F139" s="3">
        <f t="shared" si="65"/>
        <v>3.9416453485745571</v>
      </c>
      <c r="G139" s="3">
        <f t="shared" si="65"/>
        <v>4.1674771502197983</v>
      </c>
      <c r="H139" s="3">
        <f t="shared" si="65"/>
        <v>-1.5293398177005115</v>
      </c>
      <c r="I139" s="3">
        <f t="shared" si="64"/>
        <v>-3.6726926796016413</v>
      </c>
      <c r="J139" s="3">
        <f t="shared" si="64"/>
        <v>-3.3552700002271769</v>
      </c>
      <c r="K139" s="3">
        <f t="shared" si="64"/>
        <v>5.1531276480509129</v>
      </c>
      <c r="L139" s="3">
        <f t="shared" si="64"/>
        <v>4.213601636010333</v>
      </c>
      <c r="M139" s="3">
        <f t="shared" si="64"/>
        <v>4.1955167580061428</v>
      </c>
      <c r="N139" s="3">
        <f t="shared" si="64"/>
        <v>-6.3175846329273559</v>
      </c>
      <c r="O139" s="3">
        <f t="shared" si="40"/>
        <v>2.6381373325192867</v>
      </c>
      <c r="P139" s="3">
        <f t="shared" si="41"/>
        <v>0.93327606624321535</v>
      </c>
      <c r="Q139" s="3">
        <f t="shared" si="42"/>
        <v>1.797857647823736</v>
      </c>
      <c r="R139" s="3">
        <f t="shared" si="43"/>
        <v>0.85788794783164246</v>
      </c>
      <c r="S139" s="3">
        <f t="shared" si="44"/>
        <v>1.2141521882635002</v>
      </c>
      <c r="T139" s="4">
        <f t="shared" si="45"/>
        <v>0.77103280623307091</v>
      </c>
      <c r="U139" s="1">
        <f t="shared" si="66"/>
        <v>1</v>
      </c>
      <c r="V139" s="3">
        <f t="shared" si="47"/>
        <v>0.22896719376692909</v>
      </c>
      <c r="W139" s="3">
        <f t="shared" si="67"/>
        <v>2.6212987910751225E-2</v>
      </c>
      <c r="X139" s="5" t="str">
        <f t="shared" si="61"/>
        <v>PASS</v>
      </c>
      <c r="Y139" s="3">
        <f t="shared" si="68"/>
        <v>4.042214725716016E-2</v>
      </c>
      <c r="Z139" s="3">
        <f t="shared" si="69"/>
        <v>1.0606317532327039E-2</v>
      </c>
      <c r="AA139" s="3">
        <f t="shared" si="70"/>
        <v>2.0675990193951253E-2</v>
      </c>
      <c r="AB139" s="3">
        <f t="shared" si="71"/>
        <v>3.9416453485745571</v>
      </c>
      <c r="AC139" s="3">
        <f t="shared" si="72"/>
        <v>4.1939929440506161</v>
      </c>
      <c r="AD139" s="3">
        <f t="shared" si="73"/>
        <v>-1.5028240238696939</v>
      </c>
      <c r="AE139" s="3">
        <f t="shared" si="74"/>
        <v>-3.6726926796016413</v>
      </c>
      <c r="AF139" s="3">
        <f t="shared" si="75"/>
        <v>-3.3035800247422986</v>
      </c>
      <c r="AG139" s="3">
        <f t="shared" si="76"/>
        <v>5.2048176235357912</v>
      </c>
      <c r="AH139" s="3">
        <f t="shared" si="77"/>
        <v>4.3079141924634987</v>
      </c>
      <c r="AI139" s="3">
        <f t="shared" si="78"/>
        <v>4.2822109403996267</v>
      </c>
      <c r="AJ139" s="11">
        <f t="shared" si="79"/>
        <v>-6.2165292647844552</v>
      </c>
    </row>
    <row r="140" spans="1:36" ht="18" customHeight="1" x14ac:dyDescent="0.25">
      <c r="A140" s="18">
        <f t="shared" si="63"/>
        <v>31</v>
      </c>
      <c r="B140" s="2">
        <v>123</v>
      </c>
      <c r="C140" s="2">
        <v>1</v>
      </c>
      <c r="D140" s="2">
        <v>0</v>
      </c>
      <c r="E140" s="2">
        <v>1</v>
      </c>
      <c r="F140" s="3">
        <f t="shared" si="65"/>
        <v>3.9416453485745571</v>
      </c>
      <c r="G140" s="3">
        <f t="shared" si="65"/>
        <v>4.1939929440506161</v>
      </c>
      <c r="H140" s="3">
        <f t="shared" si="65"/>
        <v>-1.5028240238696939</v>
      </c>
      <c r="I140" s="3">
        <f t="shared" si="64"/>
        <v>-3.6726926796016413</v>
      </c>
      <c r="J140" s="3">
        <f t="shared" si="64"/>
        <v>-3.3035800247422986</v>
      </c>
      <c r="K140" s="3">
        <f t="shared" si="64"/>
        <v>5.2048176235357912</v>
      </c>
      <c r="L140" s="3">
        <f t="shared" si="64"/>
        <v>4.3079141924634987</v>
      </c>
      <c r="M140" s="3">
        <f t="shared" si="64"/>
        <v>4.2822109403996267</v>
      </c>
      <c r="N140" s="3">
        <f t="shared" si="64"/>
        <v>-6.2165292647844552</v>
      </c>
      <c r="O140" s="3">
        <f t="shared" si="40"/>
        <v>2.4388213247048629</v>
      </c>
      <c r="P140" s="3">
        <f t="shared" si="41"/>
        <v>0.91974012313904685</v>
      </c>
      <c r="Q140" s="3">
        <f t="shared" si="42"/>
        <v>1.53212494393415</v>
      </c>
      <c r="R140" s="3">
        <f t="shared" si="43"/>
        <v>0.82231700616313053</v>
      </c>
      <c r="S140" s="3">
        <f t="shared" si="44"/>
        <v>1.2669671453327958</v>
      </c>
      <c r="T140" s="4">
        <f t="shared" si="45"/>
        <v>0.78022313117601894</v>
      </c>
      <c r="U140" s="1">
        <f t="shared" si="66"/>
        <v>1</v>
      </c>
      <c r="V140" s="3">
        <f t="shared" si="47"/>
        <v>0.21977686882398106</v>
      </c>
      <c r="W140" s="3">
        <f t="shared" si="67"/>
        <v>2.415093603503669E-2</v>
      </c>
      <c r="X140" s="5" t="str">
        <f t="shared" si="61"/>
        <v>PASS</v>
      </c>
      <c r="Y140" s="3">
        <f t="shared" si="68"/>
        <v>3.7686237868176146E-2</v>
      </c>
      <c r="Z140" s="3">
        <f t="shared" si="69"/>
        <v>1.1984321493977287E-2</v>
      </c>
      <c r="AA140" s="3">
        <f t="shared" si="70"/>
        <v>2.3579575199468211E-2</v>
      </c>
      <c r="AB140" s="3">
        <f t="shared" si="71"/>
        <v>3.9716061523095001</v>
      </c>
      <c r="AC140" s="3">
        <f t="shared" si="72"/>
        <v>4.1939929440506161</v>
      </c>
      <c r="AD140" s="3">
        <f t="shared" si="73"/>
        <v>-1.4728632201347507</v>
      </c>
      <c r="AE140" s="3">
        <f t="shared" si="74"/>
        <v>-3.6137437416029705</v>
      </c>
      <c r="AF140" s="3">
        <f t="shared" si="75"/>
        <v>-3.3035800247422986</v>
      </c>
      <c r="AG140" s="3">
        <f t="shared" si="76"/>
        <v>5.263766561534462</v>
      </c>
      <c r="AH140" s="3">
        <f t="shared" si="77"/>
        <v>4.3945680551073076</v>
      </c>
      <c r="AI140" s="3">
        <f t="shared" si="78"/>
        <v>4.359686026142902</v>
      </c>
      <c r="AJ140" s="11">
        <f t="shared" si="79"/>
        <v>-6.1223136701140151</v>
      </c>
    </row>
    <row r="141" spans="1:36" ht="18" customHeight="1" x14ac:dyDescent="0.25">
      <c r="A141" s="18">
        <f t="shared" si="63"/>
        <v>31</v>
      </c>
      <c r="B141" s="2">
        <v>124</v>
      </c>
      <c r="C141" s="2">
        <v>1</v>
      </c>
      <c r="D141" s="2">
        <v>1</v>
      </c>
      <c r="E141" s="2">
        <v>0</v>
      </c>
      <c r="F141" s="3">
        <f t="shared" si="65"/>
        <v>3.9716061523095001</v>
      </c>
      <c r="G141" s="3">
        <f t="shared" si="65"/>
        <v>4.1939929440506161</v>
      </c>
      <c r="H141" s="3">
        <f t="shared" si="65"/>
        <v>-1.4728632201347507</v>
      </c>
      <c r="I141" s="3">
        <f t="shared" si="64"/>
        <v>-3.6137437416029705</v>
      </c>
      <c r="J141" s="3">
        <f t="shared" si="64"/>
        <v>-3.3035800247422986</v>
      </c>
      <c r="K141" s="3">
        <f t="shared" si="64"/>
        <v>5.263766561534462</v>
      </c>
      <c r="L141" s="3">
        <f t="shared" si="64"/>
        <v>4.3945680551073076</v>
      </c>
      <c r="M141" s="3">
        <f t="shared" si="64"/>
        <v>4.359686026142902</v>
      </c>
      <c r="N141" s="3">
        <f t="shared" si="64"/>
        <v>-6.1223136701140151</v>
      </c>
      <c r="O141" s="3">
        <f t="shared" si="40"/>
        <v>6.6927358762253659</v>
      </c>
      <c r="P141" s="3">
        <f t="shared" si="41"/>
        <v>0.99876164945950296</v>
      </c>
      <c r="Q141" s="3">
        <f t="shared" si="42"/>
        <v>-1.6535572048108076</v>
      </c>
      <c r="R141" s="3">
        <f t="shared" si="43"/>
        <v>0.16062876256136377</v>
      </c>
      <c r="S141" s="3">
        <f t="shared" si="44"/>
        <v>-1.032896659197597</v>
      </c>
      <c r="T141" s="4">
        <f t="shared" si="45"/>
        <v>0.262522911880536</v>
      </c>
      <c r="U141" s="1">
        <f t="shared" si="66"/>
        <v>0</v>
      </c>
      <c r="V141" s="3">
        <f t="shared" si="47"/>
        <v>-0.262522911880536</v>
      </c>
      <c r="W141" s="3">
        <f t="shared" si="67"/>
        <v>3.4459139631117838E-2</v>
      </c>
      <c r="X141" s="5" t="str">
        <f t="shared" si="61"/>
        <v>PASS</v>
      </c>
      <c r="Y141" s="3">
        <f t="shared" si="68"/>
        <v>-5.0825651908517608E-2</v>
      </c>
      <c r="Z141" s="3">
        <f t="shared" si="69"/>
        <v>-2.7625147665958879E-4</v>
      </c>
      <c r="AA141" s="3">
        <f t="shared" si="70"/>
        <v>-2.9875526543697319E-2</v>
      </c>
      <c r="AB141" s="3">
        <f t="shared" si="71"/>
        <v>3.9709155236178511</v>
      </c>
      <c r="AC141" s="3">
        <f t="shared" si="72"/>
        <v>4.1933023153589675</v>
      </c>
      <c r="AD141" s="3">
        <f t="shared" si="73"/>
        <v>-1.4735538488263997</v>
      </c>
      <c r="AE141" s="3">
        <f t="shared" si="74"/>
        <v>-3.6884325579622139</v>
      </c>
      <c r="AF141" s="3">
        <f t="shared" si="75"/>
        <v>-3.378268841101542</v>
      </c>
      <c r="AG141" s="3">
        <f t="shared" si="76"/>
        <v>5.1890777451752186</v>
      </c>
      <c r="AH141" s="3">
        <f t="shared" si="77"/>
        <v>4.267661275269794</v>
      </c>
      <c r="AI141" s="3">
        <f t="shared" si="78"/>
        <v>4.3392758722118021</v>
      </c>
      <c r="AJ141" s="11">
        <f t="shared" si="79"/>
        <v>-6.2493777998853091</v>
      </c>
    </row>
    <row r="142" spans="1:36" ht="18" customHeight="1" x14ac:dyDescent="0.25">
      <c r="A142" s="18">
        <f t="shared" si="63"/>
        <v>32</v>
      </c>
      <c r="B142" s="2">
        <v>125</v>
      </c>
      <c r="C142" s="2">
        <v>0</v>
      </c>
      <c r="D142" s="2">
        <v>0</v>
      </c>
      <c r="E142" s="2">
        <v>0</v>
      </c>
      <c r="F142" s="3">
        <f t="shared" si="65"/>
        <v>3.9709155236178511</v>
      </c>
      <c r="G142" s="3">
        <f t="shared" si="65"/>
        <v>4.1933023153589675</v>
      </c>
      <c r="H142" s="3">
        <f t="shared" si="65"/>
        <v>-1.4735538488263997</v>
      </c>
      <c r="I142" s="3">
        <f t="shared" si="64"/>
        <v>-3.6884325579622139</v>
      </c>
      <c r="J142" s="3">
        <f t="shared" si="64"/>
        <v>-3.378268841101542</v>
      </c>
      <c r="K142" s="3">
        <f t="shared" si="64"/>
        <v>5.1890777451752186</v>
      </c>
      <c r="L142" s="3">
        <f t="shared" si="64"/>
        <v>4.267661275269794</v>
      </c>
      <c r="M142" s="3">
        <f t="shared" si="64"/>
        <v>4.3392758722118021</v>
      </c>
      <c r="N142" s="3">
        <f t="shared" si="64"/>
        <v>-6.2493777998853091</v>
      </c>
      <c r="O142" s="3">
        <f t="shared" si="40"/>
        <v>-1.4735538488263997</v>
      </c>
      <c r="P142" s="3">
        <f t="shared" si="41"/>
        <v>0.18640304732347635</v>
      </c>
      <c r="Q142" s="3">
        <f t="shared" si="42"/>
        <v>5.1890777451752186</v>
      </c>
      <c r="R142" s="3">
        <f t="shared" si="43"/>
        <v>0.99445378407158402</v>
      </c>
      <c r="S142" s="3">
        <f t="shared" si="44"/>
        <v>-1.1386634219790759</v>
      </c>
      <c r="T142" s="4">
        <f t="shared" si="45"/>
        <v>0.24256584283929641</v>
      </c>
      <c r="U142" s="1">
        <f t="shared" si="66"/>
        <v>0</v>
      </c>
      <c r="V142" s="3">
        <f t="shared" si="47"/>
        <v>-0.24256584283929641</v>
      </c>
      <c r="W142" s="3">
        <f t="shared" si="67"/>
        <v>2.9419094056169125E-2</v>
      </c>
      <c r="X142" s="5" t="str">
        <f t="shared" si="61"/>
        <v>PASS</v>
      </c>
      <c r="Y142" s="3">
        <f t="shared" si="68"/>
        <v>-4.4566053421731852E-2</v>
      </c>
      <c r="Z142" s="3">
        <f t="shared" si="69"/>
        <v>-2.8844063292582274E-2</v>
      </c>
      <c r="AA142" s="3">
        <f t="shared" si="70"/>
        <v>-1.0666030384342082E-3</v>
      </c>
      <c r="AB142" s="3">
        <f t="shared" si="71"/>
        <v>3.9709155236178511</v>
      </c>
      <c r="AC142" s="3">
        <f t="shared" si="72"/>
        <v>4.1933023153589675</v>
      </c>
      <c r="AD142" s="3">
        <f t="shared" si="73"/>
        <v>-1.5456640070578553</v>
      </c>
      <c r="AE142" s="3">
        <f t="shared" si="74"/>
        <v>-3.6884325579622139</v>
      </c>
      <c r="AF142" s="3">
        <f t="shared" si="75"/>
        <v>-3.378268841101542</v>
      </c>
      <c r="AG142" s="3">
        <f t="shared" si="76"/>
        <v>5.1864112375791329</v>
      </c>
      <c r="AH142" s="3">
        <f t="shared" si="77"/>
        <v>4.2468931548573146</v>
      </c>
      <c r="AI142" s="3">
        <f t="shared" si="78"/>
        <v>4.228478671045858</v>
      </c>
      <c r="AJ142" s="11">
        <f t="shared" si="79"/>
        <v>-6.3607929334396385</v>
      </c>
    </row>
    <row r="143" spans="1:36" ht="18" customHeight="1" x14ac:dyDescent="0.25">
      <c r="A143" s="18">
        <f t="shared" si="63"/>
        <v>32</v>
      </c>
      <c r="B143" s="2">
        <v>126</v>
      </c>
      <c r="C143" s="2">
        <v>0</v>
      </c>
      <c r="D143" s="2">
        <v>1</v>
      </c>
      <c r="E143" s="2">
        <v>1</v>
      </c>
      <c r="F143" s="3">
        <f t="shared" si="65"/>
        <v>3.9709155236178511</v>
      </c>
      <c r="G143" s="3">
        <f t="shared" si="65"/>
        <v>4.1933023153589675</v>
      </c>
      <c r="H143" s="3">
        <f t="shared" si="65"/>
        <v>-1.5456640070578553</v>
      </c>
      <c r="I143" s="3">
        <f t="shared" si="64"/>
        <v>-3.6884325579622139</v>
      </c>
      <c r="J143" s="3">
        <f t="shared" si="64"/>
        <v>-3.378268841101542</v>
      </c>
      <c r="K143" s="3">
        <f t="shared" si="64"/>
        <v>5.1864112375791329</v>
      </c>
      <c r="L143" s="3">
        <f t="shared" si="64"/>
        <v>4.2468931548573146</v>
      </c>
      <c r="M143" s="3">
        <f t="shared" si="64"/>
        <v>4.228478671045858</v>
      </c>
      <c r="N143" s="3">
        <f t="shared" si="64"/>
        <v>-6.3607929334396385</v>
      </c>
      <c r="O143" s="3">
        <f t="shared" si="40"/>
        <v>2.6476383083011124</v>
      </c>
      <c r="P143" s="3">
        <f t="shared" si="41"/>
        <v>0.9338652796300092</v>
      </c>
      <c r="Q143" s="3">
        <f t="shared" si="42"/>
        <v>1.8081423964775909</v>
      </c>
      <c r="R143" s="3">
        <f t="shared" si="43"/>
        <v>0.85913721617494232</v>
      </c>
      <c r="S143" s="3">
        <f t="shared" si="44"/>
        <v>1.2380765242774174</v>
      </c>
      <c r="T143" s="4">
        <f t="shared" si="45"/>
        <v>0.77522902802603433</v>
      </c>
      <c r="U143" s="1">
        <f t="shared" si="66"/>
        <v>1</v>
      </c>
      <c r="V143" s="3">
        <f t="shared" si="47"/>
        <v>0.22477097197396567</v>
      </c>
      <c r="W143" s="3">
        <f t="shared" si="67"/>
        <v>2.5260994921060632E-2</v>
      </c>
      <c r="X143" s="5" t="str">
        <f t="shared" si="61"/>
        <v>PASS</v>
      </c>
      <c r="Y143" s="3">
        <f t="shared" si="68"/>
        <v>3.9166113079248846E-2</v>
      </c>
      <c r="Z143" s="3">
        <f t="shared" si="69"/>
        <v>1.0272959099090449E-2</v>
      </c>
      <c r="AA143" s="3">
        <f t="shared" si="70"/>
        <v>2.0042570364340779E-2</v>
      </c>
      <c r="AB143" s="3">
        <f t="shared" si="71"/>
        <v>3.9709155236178511</v>
      </c>
      <c r="AC143" s="3">
        <f t="shared" si="72"/>
        <v>4.2189847131066935</v>
      </c>
      <c r="AD143" s="3">
        <f t="shared" si="73"/>
        <v>-1.5199816093101293</v>
      </c>
      <c r="AE143" s="3">
        <f t="shared" si="74"/>
        <v>-3.6884325579622139</v>
      </c>
      <c r="AF143" s="3">
        <f t="shared" si="75"/>
        <v>-3.3281624151906901</v>
      </c>
      <c r="AG143" s="3">
        <f t="shared" si="76"/>
        <v>5.2365176634899848</v>
      </c>
      <c r="AH143" s="3">
        <f t="shared" si="77"/>
        <v>4.3383328377142476</v>
      </c>
      <c r="AI143" s="3">
        <f t="shared" si="78"/>
        <v>4.3126013344441052</v>
      </c>
      <c r="AJ143" s="11">
        <f t="shared" si="79"/>
        <v>-6.2628776507415163</v>
      </c>
    </row>
    <row r="144" spans="1:36" ht="18" customHeight="1" x14ac:dyDescent="0.25">
      <c r="A144" s="18">
        <f t="shared" si="63"/>
        <v>32</v>
      </c>
      <c r="B144" s="2">
        <v>127</v>
      </c>
      <c r="C144" s="2">
        <v>1</v>
      </c>
      <c r="D144" s="2">
        <v>0</v>
      </c>
      <c r="E144" s="2">
        <v>1</v>
      </c>
      <c r="F144" s="3">
        <f t="shared" si="65"/>
        <v>3.9709155236178511</v>
      </c>
      <c r="G144" s="3">
        <f t="shared" si="65"/>
        <v>4.2189847131066935</v>
      </c>
      <c r="H144" s="3">
        <f t="shared" si="65"/>
        <v>-1.5199816093101293</v>
      </c>
      <c r="I144" s="3">
        <f t="shared" si="64"/>
        <v>-3.6884325579622139</v>
      </c>
      <c r="J144" s="3">
        <f t="shared" si="64"/>
        <v>-3.3281624151906901</v>
      </c>
      <c r="K144" s="3">
        <f t="shared" si="64"/>
        <v>5.2365176634899848</v>
      </c>
      <c r="L144" s="3">
        <f t="shared" si="64"/>
        <v>4.3383328377142476</v>
      </c>
      <c r="M144" s="3">
        <f t="shared" si="64"/>
        <v>4.3126013344441052</v>
      </c>
      <c r="N144" s="3">
        <f t="shared" si="64"/>
        <v>-6.2628776507415163</v>
      </c>
      <c r="O144" s="3">
        <f t="shared" si="40"/>
        <v>2.450933914307722</v>
      </c>
      <c r="P144" s="3">
        <f t="shared" si="41"/>
        <v>0.92062971934455717</v>
      </c>
      <c r="Q144" s="3">
        <f t="shared" si="42"/>
        <v>1.5480851055277709</v>
      </c>
      <c r="R144" s="3">
        <f t="shared" si="43"/>
        <v>0.82463698948665498</v>
      </c>
      <c r="S144" s="3">
        <f t="shared" si="44"/>
        <v>1.2874510733587456</v>
      </c>
      <c r="T144" s="4">
        <f t="shared" si="45"/>
        <v>0.78371544443247987</v>
      </c>
      <c r="U144" s="1">
        <f t="shared" si="66"/>
        <v>1</v>
      </c>
      <c r="V144" s="3">
        <f t="shared" si="47"/>
        <v>0.21628455556752013</v>
      </c>
      <c r="W144" s="3">
        <f t="shared" si="67"/>
        <v>2.3389504488519852E-2</v>
      </c>
      <c r="X144" s="5" t="str">
        <f t="shared" si="61"/>
        <v>PASS</v>
      </c>
      <c r="Y144" s="3">
        <f t="shared" si="68"/>
        <v>3.6661431810551634E-2</v>
      </c>
      <c r="Z144" s="3">
        <f t="shared" si="69"/>
        <v>1.1621848155234137E-2</v>
      </c>
      <c r="AA144" s="3">
        <f t="shared" si="70"/>
        <v>2.2863859315660259E-2</v>
      </c>
      <c r="AB144" s="3">
        <f t="shared" si="71"/>
        <v>3.9999701440059363</v>
      </c>
      <c r="AC144" s="3">
        <f t="shared" si="72"/>
        <v>4.2189847131066935</v>
      </c>
      <c r="AD144" s="3">
        <f t="shared" si="73"/>
        <v>-1.490926988922044</v>
      </c>
      <c r="AE144" s="3">
        <f t="shared" si="74"/>
        <v>-3.6312729096730632</v>
      </c>
      <c r="AF144" s="3">
        <f t="shared" si="75"/>
        <v>-3.3281624151906901</v>
      </c>
      <c r="AG144" s="3">
        <f t="shared" si="76"/>
        <v>5.2936773117791356</v>
      </c>
      <c r="AH144" s="3">
        <f t="shared" si="77"/>
        <v>4.4227118469105422</v>
      </c>
      <c r="AI144" s="3">
        <f t="shared" si="78"/>
        <v>4.3881822663404142</v>
      </c>
      <c r="AJ144" s="11">
        <f t="shared" si="79"/>
        <v>-6.1712240712151374</v>
      </c>
    </row>
    <row r="145" spans="1:36" ht="18" customHeight="1" x14ac:dyDescent="0.25">
      <c r="A145" s="18">
        <f t="shared" si="63"/>
        <v>32</v>
      </c>
      <c r="B145" s="2">
        <v>128</v>
      </c>
      <c r="C145" s="2">
        <v>1</v>
      </c>
      <c r="D145" s="2">
        <v>1</v>
      </c>
      <c r="E145" s="2">
        <v>0</v>
      </c>
      <c r="F145" s="3">
        <f t="shared" si="65"/>
        <v>3.9999701440059363</v>
      </c>
      <c r="G145" s="3">
        <f t="shared" si="65"/>
        <v>4.2189847131066935</v>
      </c>
      <c r="H145" s="3">
        <f t="shared" si="65"/>
        <v>-1.490926988922044</v>
      </c>
      <c r="I145" s="3">
        <f t="shared" si="64"/>
        <v>-3.6312729096730632</v>
      </c>
      <c r="J145" s="3">
        <f t="shared" si="64"/>
        <v>-3.3281624151906901</v>
      </c>
      <c r="K145" s="3">
        <f t="shared" si="64"/>
        <v>5.2936773117791356</v>
      </c>
      <c r="L145" s="3">
        <f t="shared" si="64"/>
        <v>4.4227118469105422</v>
      </c>
      <c r="M145" s="3">
        <f t="shared" si="64"/>
        <v>4.3881822663404142</v>
      </c>
      <c r="N145" s="3">
        <f t="shared" si="64"/>
        <v>-6.1712240712151374</v>
      </c>
      <c r="O145" s="3">
        <f t="shared" si="40"/>
        <v>6.7280278681905861</v>
      </c>
      <c r="P145" s="3">
        <f t="shared" si="41"/>
        <v>0.99880453977658878</v>
      </c>
      <c r="Q145" s="3">
        <f t="shared" si="42"/>
        <v>-1.6657580130846172</v>
      </c>
      <c r="R145" s="3">
        <f t="shared" si="43"/>
        <v>0.15899056563856226</v>
      </c>
      <c r="S145" s="3">
        <f t="shared" si="44"/>
        <v>-1.0561198197466162</v>
      </c>
      <c r="T145" s="4">
        <f t="shared" si="45"/>
        <v>0.25805166017606607</v>
      </c>
      <c r="U145" s="1">
        <f t="shared" si="66"/>
        <v>0</v>
      </c>
      <c r="V145" s="3">
        <f t="shared" si="47"/>
        <v>-0.25805166017606607</v>
      </c>
      <c r="W145" s="3">
        <f t="shared" si="67"/>
        <v>3.329532965981194E-2</v>
      </c>
      <c r="X145" s="5" t="str">
        <f t="shared" si="61"/>
        <v>PASS</v>
      </c>
      <c r="Y145" s="3">
        <f t="shared" si="68"/>
        <v>-4.9406829129976113E-2</v>
      </c>
      <c r="Z145" s="3">
        <f t="shared" si="69"/>
        <v>-2.6091032455206968E-4</v>
      </c>
      <c r="AA145" s="3">
        <f t="shared" si="70"/>
        <v>-2.8989709435636838E-2</v>
      </c>
      <c r="AB145" s="3">
        <f t="shared" si="71"/>
        <v>3.9993178681945563</v>
      </c>
      <c r="AC145" s="3">
        <f t="shared" si="72"/>
        <v>4.218332437295313</v>
      </c>
      <c r="AD145" s="3">
        <f t="shared" si="73"/>
        <v>-1.4915792647334243</v>
      </c>
      <c r="AE145" s="3">
        <f t="shared" si="74"/>
        <v>-3.7037471832621551</v>
      </c>
      <c r="AF145" s="3">
        <f t="shared" si="75"/>
        <v>-3.4006366887797821</v>
      </c>
      <c r="AG145" s="3">
        <f t="shared" si="76"/>
        <v>5.2212030381900432</v>
      </c>
      <c r="AH145" s="3">
        <f t="shared" si="77"/>
        <v>4.2993424338330763</v>
      </c>
      <c r="AI145" s="3">
        <f t="shared" si="78"/>
        <v>4.3685442170659572</v>
      </c>
      <c r="AJ145" s="11">
        <f t="shared" si="79"/>
        <v>-6.2947411440400778</v>
      </c>
    </row>
    <row r="146" spans="1:36" ht="18" customHeight="1" x14ac:dyDescent="0.25">
      <c r="A146" s="18">
        <f t="shared" si="63"/>
        <v>33</v>
      </c>
      <c r="B146" s="2">
        <v>129</v>
      </c>
      <c r="C146" s="2">
        <v>0</v>
      </c>
      <c r="D146" s="2">
        <v>0</v>
      </c>
      <c r="E146" s="2">
        <v>0</v>
      </c>
      <c r="F146" s="3">
        <f t="shared" si="65"/>
        <v>3.9993178681945563</v>
      </c>
      <c r="G146" s="3">
        <f t="shared" si="65"/>
        <v>4.218332437295313</v>
      </c>
      <c r="H146" s="3">
        <f t="shared" si="65"/>
        <v>-1.4915792647334243</v>
      </c>
      <c r="I146" s="3">
        <f t="shared" si="64"/>
        <v>-3.7037471832621551</v>
      </c>
      <c r="J146" s="3">
        <f t="shared" si="64"/>
        <v>-3.4006366887797821</v>
      </c>
      <c r="K146" s="3">
        <f t="shared" si="64"/>
        <v>5.2212030381900432</v>
      </c>
      <c r="L146" s="3">
        <f t="shared" si="64"/>
        <v>4.2993424338330763</v>
      </c>
      <c r="M146" s="3">
        <f t="shared" si="64"/>
        <v>4.3685442170659572</v>
      </c>
      <c r="N146" s="3">
        <f t="shared" si="64"/>
        <v>-6.2947411440400778</v>
      </c>
      <c r="O146" s="3">
        <f t="shared" ref="O146:O209" si="80">F146*C146+G146*D146+H146</f>
        <v>-1.4915792647334243</v>
      </c>
      <c r="P146" s="3">
        <f t="shared" ref="P146:P209" si="81">1/(1+EXP(-O146))</f>
        <v>0.18368480674177698</v>
      </c>
      <c r="Q146" s="3">
        <f t="shared" ref="Q146:Q209" si="82">I146*C146+J146*D146+K146</f>
        <v>5.2212030381900432</v>
      </c>
      <c r="R146" s="3">
        <f t="shared" ref="R146:R209" si="83">1/(1+EXP(-Q146))</f>
        <v>0.9946281844364665</v>
      </c>
      <c r="S146" s="3">
        <f t="shared" ref="S146:S209" si="84">L146*P146+M146*R146+N146</f>
        <v>-1.1599400567139906</v>
      </c>
      <c r="T146" s="4">
        <f t="shared" ref="T146:T209" si="85">1/(1+EXP(-S146))</f>
        <v>0.23867817733521529</v>
      </c>
      <c r="U146" s="1">
        <f t="shared" ref="U146:U177" si="86">IF(T146&gt;=0.5, 1, 0)</f>
        <v>0</v>
      </c>
      <c r="V146" s="3">
        <f t="shared" ref="V146:V209" si="87">E146-T146</f>
        <v>-0.23867817733521529</v>
      </c>
      <c r="W146" s="3">
        <f t="shared" ref="W146:W177" si="88">0.5*(V146^2)</f>
        <v>2.8483636168030239E-2</v>
      </c>
      <c r="X146" s="5" t="str">
        <f t="shared" si="61"/>
        <v>PASS</v>
      </c>
      <c r="Y146" s="3">
        <f t="shared" ref="Y146:Y177" si="89">V146*T146*(1-T146)</f>
        <v>-4.3370427607130731E-2</v>
      </c>
      <c r="Z146" s="3">
        <f t="shared" ref="Z146:Z177" si="90">Y146*L146*P146*(1-P146)</f>
        <v>-2.7959336213755751E-2</v>
      </c>
      <c r="AA146" s="3">
        <f t="shared" ref="AA146:AA177" si="91">Y146*M146*R146*(1-R146)</f>
        <v>-1.0123071273384116E-3</v>
      </c>
      <c r="AB146" s="3">
        <f t="shared" ref="AB146:AB177" si="92">F146+$D$5*Z146*C146</f>
        <v>3.9993178681945563</v>
      </c>
      <c r="AC146" s="3">
        <f t="shared" ref="AC146:AC177" si="93">G146+$D$5*Z146*D146</f>
        <v>4.218332437295313</v>
      </c>
      <c r="AD146" s="3">
        <f t="shared" ref="AD146:AD177" si="94">H146+$D$5*Z146</f>
        <v>-1.5614776052678137</v>
      </c>
      <c r="AE146" s="3">
        <f t="shared" ref="AE146:AE177" si="95">I146+$D$5*AA146*C146</f>
        <v>-3.7037471832621551</v>
      </c>
      <c r="AF146" s="3">
        <f t="shared" ref="AF146:AF177" si="96">J146+$D$5*AA146*D146</f>
        <v>-3.4006366887797821</v>
      </c>
      <c r="AG146" s="3">
        <f t="shared" ref="AG146:AG177" si="97">K146+$D$5*AA146</f>
        <v>5.2186722703716972</v>
      </c>
      <c r="AH146" s="3">
        <f t="shared" ref="AH146:AH177" si="98">L146+$D$5*Y146*P146</f>
        <v>4.2794262122997662</v>
      </c>
      <c r="AI146" s="3">
        <f t="shared" ref="AI146:AI177" si="99">M146+$D$5*Y146*R146</f>
        <v>4.2607005928931727</v>
      </c>
      <c r="AJ146" s="11">
        <f t="shared" ref="AJ146:AJ177" si="100">N146+$D$5*Y146</f>
        <v>-6.4031672130579045</v>
      </c>
    </row>
    <row r="147" spans="1:36" ht="18" customHeight="1" x14ac:dyDescent="0.25">
      <c r="A147" s="18">
        <f t="shared" si="63"/>
        <v>33</v>
      </c>
      <c r="B147" s="2">
        <v>130</v>
      </c>
      <c r="C147" s="2">
        <v>0</v>
      </c>
      <c r="D147" s="2">
        <v>1</v>
      </c>
      <c r="E147" s="2">
        <v>1</v>
      </c>
      <c r="F147" s="3">
        <f t="shared" si="65"/>
        <v>3.9993178681945563</v>
      </c>
      <c r="G147" s="3">
        <f t="shared" si="65"/>
        <v>4.218332437295313</v>
      </c>
      <c r="H147" s="3">
        <f t="shared" si="65"/>
        <v>-1.5614776052678137</v>
      </c>
      <c r="I147" s="3">
        <f t="shared" si="64"/>
        <v>-3.7037471832621551</v>
      </c>
      <c r="J147" s="3">
        <f t="shared" si="64"/>
        <v>-3.4006366887797821</v>
      </c>
      <c r="K147" s="3">
        <f t="shared" si="64"/>
        <v>5.2186722703716972</v>
      </c>
      <c r="L147" s="3">
        <f t="shared" si="64"/>
        <v>4.2794262122997662</v>
      </c>
      <c r="M147" s="3">
        <f t="shared" si="64"/>
        <v>4.2607005928931727</v>
      </c>
      <c r="N147" s="3">
        <f t="shared" si="64"/>
        <v>-6.4031672130579045</v>
      </c>
      <c r="O147" s="3">
        <f t="shared" si="80"/>
        <v>2.6568548320274994</v>
      </c>
      <c r="P147" s="3">
        <f t="shared" si="81"/>
        <v>0.93443222951398297</v>
      </c>
      <c r="Q147" s="3">
        <f t="shared" si="82"/>
        <v>1.8180355815919151</v>
      </c>
      <c r="R147" s="3">
        <f t="shared" si="83"/>
        <v>0.86033024541133485</v>
      </c>
      <c r="S147" s="3">
        <f t="shared" si="84"/>
        <v>1.261276150249949</v>
      </c>
      <c r="T147" s="4">
        <f t="shared" si="85"/>
        <v>0.77924571171248236</v>
      </c>
      <c r="U147" s="1">
        <f t="shared" si="86"/>
        <v>1</v>
      </c>
      <c r="V147" s="3">
        <f t="shared" si="87"/>
        <v>0.22075428828751764</v>
      </c>
      <c r="W147" s="3">
        <f t="shared" si="88"/>
        <v>2.4366227898664224E-2</v>
      </c>
      <c r="X147" s="5" t="str">
        <f t="shared" ref="X147:X210" si="101">IF(U147=E147, "PASS", "FAIL")</f>
        <v>PASS</v>
      </c>
      <c r="Y147" s="3">
        <f t="shared" si="89"/>
        <v>3.7974557201286292E-2</v>
      </c>
      <c r="Z147" s="3">
        <f t="shared" si="90"/>
        <v>9.9567244156613215E-3</v>
      </c>
      <c r="AA147" s="3">
        <f t="shared" si="91"/>
        <v>1.9442016001383962E-2</v>
      </c>
      <c r="AB147" s="3">
        <f t="shared" si="92"/>
        <v>3.9993178681945563</v>
      </c>
      <c r="AC147" s="3">
        <f t="shared" si="93"/>
        <v>4.2432242483344664</v>
      </c>
      <c r="AD147" s="3">
        <f t="shared" si="94"/>
        <v>-1.5365857942286603</v>
      </c>
      <c r="AE147" s="3">
        <f t="shared" si="95"/>
        <v>-3.7037471832621551</v>
      </c>
      <c r="AF147" s="3">
        <f t="shared" si="96"/>
        <v>-3.3520316487763222</v>
      </c>
      <c r="AG147" s="3">
        <f t="shared" si="97"/>
        <v>5.2672773103751576</v>
      </c>
      <c r="AH147" s="3">
        <f t="shared" si="98"/>
        <v>4.3681378376757767</v>
      </c>
      <c r="AI147" s="3">
        <f t="shared" si="99"/>
        <v>4.3423772431840959</v>
      </c>
      <c r="AJ147" s="11">
        <f t="shared" si="100"/>
        <v>-6.308230820054689</v>
      </c>
    </row>
    <row r="148" spans="1:36" ht="18" customHeight="1" x14ac:dyDescent="0.25">
      <c r="A148" s="18">
        <f t="shared" si="63"/>
        <v>33</v>
      </c>
      <c r="B148" s="2">
        <v>131</v>
      </c>
      <c r="C148" s="2">
        <v>1</v>
      </c>
      <c r="D148" s="2">
        <v>0</v>
      </c>
      <c r="E148" s="2">
        <v>1</v>
      </c>
      <c r="F148" s="3">
        <f t="shared" si="65"/>
        <v>3.9993178681945563</v>
      </c>
      <c r="G148" s="3">
        <f t="shared" si="65"/>
        <v>4.2432242483344664</v>
      </c>
      <c r="H148" s="3">
        <f t="shared" si="65"/>
        <v>-1.5365857942286603</v>
      </c>
      <c r="I148" s="3">
        <f t="shared" si="64"/>
        <v>-3.7037471832621551</v>
      </c>
      <c r="J148" s="3">
        <f t="shared" si="64"/>
        <v>-3.3520316487763222</v>
      </c>
      <c r="K148" s="3">
        <f t="shared" si="64"/>
        <v>5.2672773103751576</v>
      </c>
      <c r="L148" s="3">
        <f t="shared" si="64"/>
        <v>4.3681378376757767</v>
      </c>
      <c r="M148" s="3">
        <f t="shared" si="64"/>
        <v>4.3423772431840959</v>
      </c>
      <c r="N148" s="3">
        <f t="shared" si="64"/>
        <v>-6.308230820054689</v>
      </c>
      <c r="O148" s="3">
        <f t="shared" si="80"/>
        <v>2.462732073965896</v>
      </c>
      <c r="P148" s="3">
        <f t="shared" si="81"/>
        <v>0.92148755133604721</v>
      </c>
      <c r="Q148" s="3">
        <f t="shared" si="82"/>
        <v>1.5635301271130024</v>
      </c>
      <c r="R148" s="3">
        <f t="shared" si="83"/>
        <v>0.82685931980300886</v>
      </c>
      <c r="S148" s="3">
        <f t="shared" si="84"/>
        <v>1.307488913510765</v>
      </c>
      <c r="T148" s="4">
        <f t="shared" si="85"/>
        <v>0.78709265687677588</v>
      </c>
      <c r="U148" s="1">
        <f t="shared" si="86"/>
        <v>1</v>
      </c>
      <c r="V148" s="3">
        <f t="shared" si="87"/>
        <v>0.21290734312322412</v>
      </c>
      <c r="W148" s="3">
        <f t="shared" si="88"/>
        <v>2.2664768377895144E-2</v>
      </c>
      <c r="X148" s="5" t="str">
        <f t="shared" si="101"/>
        <v>PASS</v>
      </c>
      <c r="Y148" s="3">
        <f t="shared" si="89"/>
        <v>3.5678545520108448E-2</v>
      </c>
      <c r="Z148" s="3">
        <f t="shared" si="90"/>
        <v>1.1275387358783237E-2</v>
      </c>
      <c r="AA148" s="3">
        <f t="shared" si="91"/>
        <v>2.2180198918310363E-2</v>
      </c>
      <c r="AB148" s="3">
        <f t="shared" si="92"/>
        <v>4.0275063365915145</v>
      </c>
      <c r="AC148" s="3">
        <f t="shared" si="93"/>
        <v>4.2432242483344664</v>
      </c>
      <c r="AD148" s="3">
        <f t="shared" si="94"/>
        <v>-1.5083973258317023</v>
      </c>
      <c r="AE148" s="3">
        <f t="shared" si="95"/>
        <v>-3.648296685966379</v>
      </c>
      <c r="AF148" s="3">
        <f t="shared" si="96"/>
        <v>-3.3520316487763222</v>
      </c>
      <c r="AG148" s="3">
        <f t="shared" si="97"/>
        <v>5.3227278076709332</v>
      </c>
      <c r="AH148" s="3">
        <f t="shared" si="98"/>
        <v>4.4503311765421678</v>
      </c>
      <c r="AI148" s="3">
        <f t="shared" si="99"/>
        <v>4.4161300878848895</v>
      </c>
      <c r="AJ148" s="11">
        <f t="shared" si="100"/>
        <v>-6.219034456254418</v>
      </c>
    </row>
    <row r="149" spans="1:36" ht="18" customHeight="1" x14ac:dyDescent="0.25">
      <c r="A149" s="18">
        <f t="shared" si="63"/>
        <v>33</v>
      </c>
      <c r="B149" s="2">
        <v>132</v>
      </c>
      <c r="C149" s="2">
        <v>1</v>
      </c>
      <c r="D149" s="2">
        <v>1</v>
      </c>
      <c r="E149" s="2">
        <v>0</v>
      </c>
      <c r="F149" s="3">
        <f t="shared" si="65"/>
        <v>4.0275063365915145</v>
      </c>
      <c r="G149" s="3">
        <f t="shared" si="65"/>
        <v>4.2432242483344664</v>
      </c>
      <c r="H149" s="3">
        <f t="shared" si="65"/>
        <v>-1.5083973258317023</v>
      </c>
      <c r="I149" s="3">
        <f t="shared" si="64"/>
        <v>-3.648296685966379</v>
      </c>
      <c r="J149" s="3">
        <f t="shared" si="64"/>
        <v>-3.3520316487763222</v>
      </c>
      <c r="K149" s="3">
        <f t="shared" si="64"/>
        <v>5.3227278076709332</v>
      </c>
      <c r="L149" s="3">
        <f t="shared" si="64"/>
        <v>4.4503311765421678</v>
      </c>
      <c r="M149" s="3">
        <f t="shared" si="64"/>
        <v>4.4161300878848895</v>
      </c>
      <c r="N149" s="3">
        <f t="shared" si="64"/>
        <v>-6.219034456254418</v>
      </c>
      <c r="O149" s="3">
        <f t="shared" si="80"/>
        <v>6.7623332590942793</v>
      </c>
      <c r="P149" s="3">
        <f t="shared" si="81"/>
        <v>0.99884480846591073</v>
      </c>
      <c r="Q149" s="3">
        <f t="shared" si="82"/>
        <v>-1.6776005270717675</v>
      </c>
      <c r="R149" s="3">
        <f t="shared" si="83"/>
        <v>0.15741346013806018</v>
      </c>
      <c r="S149" s="3">
        <f t="shared" si="84"/>
        <v>-1.0786859470575294</v>
      </c>
      <c r="T149" s="4">
        <f t="shared" si="85"/>
        <v>0.25375476951905168</v>
      </c>
      <c r="U149" s="1">
        <f t="shared" si="86"/>
        <v>0</v>
      </c>
      <c r="V149" s="3">
        <f t="shared" si="87"/>
        <v>-0.25375476951905168</v>
      </c>
      <c r="W149" s="3">
        <f t="shared" si="88"/>
        <v>3.2195741526833521E-2</v>
      </c>
      <c r="X149" s="5" t="str">
        <f t="shared" si="101"/>
        <v>PASS</v>
      </c>
      <c r="Y149" s="3">
        <f t="shared" si="89"/>
        <v>-4.8051837112393844E-2</v>
      </c>
      <c r="Z149" s="3">
        <f t="shared" si="90"/>
        <v>-2.4674839764716609E-4</v>
      </c>
      <c r="AA149" s="3">
        <f t="shared" si="91"/>
        <v>-2.814545259513351E-2</v>
      </c>
      <c r="AB149" s="3">
        <f t="shared" si="92"/>
        <v>4.0268894655973968</v>
      </c>
      <c r="AC149" s="3">
        <f t="shared" si="93"/>
        <v>4.2426073773403488</v>
      </c>
      <c r="AD149" s="3">
        <f t="shared" si="94"/>
        <v>-1.5090141968258202</v>
      </c>
      <c r="AE149" s="3">
        <f t="shared" si="95"/>
        <v>-3.718660317454213</v>
      </c>
      <c r="AF149" s="3">
        <f t="shared" si="96"/>
        <v>-3.4223952802641562</v>
      </c>
      <c r="AG149" s="3">
        <f t="shared" si="97"/>
        <v>5.2523641761830993</v>
      </c>
      <c r="AH149" s="3">
        <f t="shared" si="98"/>
        <v>4.3303403564497573</v>
      </c>
      <c r="AI149" s="3">
        <f t="shared" si="99"/>
        <v>4.3972200730202582</v>
      </c>
      <c r="AJ149" s="11">
        <f t="shared" si="100"/>
        <v>-6.3391640490354026</v>
      </c>
    </row>
    <row r="150" spans="1:36" ht="18" customHeight="1" x14ac:dyDescent="0.25">
      <c r="A150" s="18">
        <f t="shared" si="63"/>
        <v>34</v>
      </c>
      <c r="B150" s="2">
        <v>133</v>
      </c>
      <c r="C150" s="2">
        <v>0</v>
      </c>
      <c r="D150" s="2">
        <v>0</v>
      </c>
      <c r="E150" s="2">
        <v>0</v>
      </c>
      <c r="F150" s="3">
        <f t="shared" si="65"/>
        <v>4.0268894655973968</v>
      </c>
      <c r="G150" s="3">
        <f t="shared" si="65"/>
        <v>4.2426073773403488</v>
      </c>
      <c r="H150" s="3">
        <f t="shared" si="65"/>
        <v>-1.5090141968258202</v>
      </c>
      <c r="I150" s="3">
        <f t="shared" si="64"/>
        <v>-3.718660317454213</v>
      </c>
      <c r="J150" s="3">
        <f t="shared" si="64"/>
        <v>-3.4223952802641562</v>
      </c>
      <c r="K150" s="3">
        <f t="shared" si="64"/>
        <v>5.2523641761830993</v>
      </c>
      <c r="L150" s="3">
        <f t="shared" ref="L150:N204" si="102">AH149</f>
        <v>4.3303403564497573</v>
      </c>
      <c r="M150" s="3">
        <f t="shared" si="102"/>
        <v>4.3972200730202582</v>
      </c>
      <c r="N150" s="3">
        <f t="shared" si="102"/>
        <v>-6.3391640490354026</v>
      </c>
      <c r="O150" s="3">
        <f t="shared" si="80"/>
        <v>-1.5090141968258202</v>
      </c>
      <c r="P150" s="3">
        <f t="shared" si="81"/>
        <v>0.1810849350840161</v>
      </c>
      <c r="Q150" s="3">
        <f t="shared" si="82"/>
        <v>5.2523641761830993</v>
      </c>
      <c r="R150" s="3">
        <f t="shared" si="83"/>
        <v>0.99479213683039858</v>
      </c>
      <c r="S150" s="3">
        <f t="shared" si="84"/>
        <v>-1.1806846941426601</v>
      </c>
      <c r="T150" s="4">
        <f t="shared" si="85"/>
        <v>0.23492910874111239</v>
      </c>
      <c r="U150" s="1">
        <f t="shared" si="86"/>
        <v>0</v>
      </c>
      <c r="V150" s="3">
        <f t="shared" si="87"/>
        <v>-0.23492910874111239</v>
      </c>
      <c r="W150" s="3">
        <f t="shared" si="88"/>
        <v>2.7595843066946707E-2</v>
      </c>
      <c r="X150" s="5" t="str">
        <f t="shared" si="101"/>
        <v>PASS</v>
      </c>
      <c r="Y150" s="3">
        <f t="shared" si="89"/>
        <v>-4.2225552500538624E-2</v>
      </c>
      <c r="Z150" s="3">
        <f t="shared" si="90"/>
        <v>-2.7115558592580549E-2</v>
      </c>
      <c r="AA150" s="3">
        <f t="shared" si="91"/>
        <v>-9.6193439035032835E-4</v>
      </c>
      <c r="AB150" s="3">
        <f t="shared" si="92"/>
        <v>4.0268894655973968</v>
      </c>
      <c r="AC150" s="3">
        <f t="shared" si="93"/>
        <v>4.2426073773403488</v>
      </c>
      <c r="AD150" s="3">
        <f t="shared" si="94"/>
        <v>-1.5768030933072716</v>
      </c>
      <c r="AE150" s="3">
        <f t="shared" si="95"/>
        <v>-3.718660317454213</v>
      </c>
      <c r="AF150" s="3">
        <f t="shared" si="96"/>
        <v>-3.4223952802641562</v>
      </c>
      <c r="AG150" s="3">
        <f t="shared" si="97"/>
        <v>5.2499593402072238</v>
      </c>
      <c r="AH150" s="3">
        <f t="shared" si="98"/>
        <v>4.3112243278661406</v>
      </c>
      <c r="AI150" s="3">
        <f t="shared" si="99"/>
        <v>4.2922059540181206</v>
      </c>
      <c r="AJ150" s="11">
        <f t="shared" si="100"/>
        <v>-6.4447279302867493</v>
      </c>
    </row>
    <row r="151" spans="1:36" ht="18" customHeight="1" x14ac:dyDescent="0.25">
      <c r="A151" s="18">
        <f t="shared" si="63"/>
        <v>34</v>
      </c>
      <c r="B151" s="2">
        <v>134</v>
      </c>
      <c r="C151" s="2">
        <v>0</v>
      </c>
      <c r="D151" s="2">
        <v>1</v>
      </c>
      <c r="E151" s="2">
        <v>1</v>
      </c>
      <c r="F151" s="3">
        <f t="shared" si="65"/>
        <v>4.0268894655973968</v>
      </c>
      <c r="G151" s="3">
        <f t="shared" si="65"/>
        <v>4.2426073773403488</v>
      </c>
      <c r="H151" s="3">
        <f t="shared" si="65"/>
        <v>-1.5768030933072716</v>
      </c>
      <c r="I151" s="3">
        <f t="shared" si="65"/>
        <v>-3.718660317454213</v>
      </c>
      <c r="J151" s="3">
        <f t="shared" si="65"/>
        <v>-3.4223952802641562</v>
      </c>
      <c r="K151" s="3">
        <f t="shared" si="65"/>
        <v>5.2499593402072238</v>
      </c>
      <c r="L151" s="3">
        <f t="shared" si="102"/>
        <v>4.3112243278661406</v>
      </c>
      <c r="M151" s="3">
        <f t="shared" si="102"/>
        <v>4.2922059540181206</v>
      </c>
      <c r="N151" s="3">
        <f t="shared" si="102"/>
        <v>-6.4447279302867493</v>
      </c>
      <c r="O151" s="3">
        <f t="shared" si="80"/>
        <v>2.6658042840330771</v>
      </c>
      <c r="P151" s="3">
        <f t="shared" si="81"/>
        <v>0.93497842304093359</v>
      </c>
      <c r="Q151" s="3">
        <f t="shared" si="82"/>
        <v>1.8275640599430676</v>
      </c>
      <c r="R151" s="3">
        <f t="shared" si="83"/>
        <v>0.86147128125121586</v>
      </c>
      <c r="S151" s="3">
        <f t="shared" si="84"/>
        <v>1.2837859557593312</v>
      </c>
      <c r="T151" s="4">
        <f t="shared" si="85"/>
        <v>0.7830935406797378</v>
      </c>
      <c r="U151" s="1">
        <f t="shared" si="86"/>
        <v>1</v>
      </c>
      <c r="V151" s="3">
        <f t="shared" si="87"/>
        <v>0.2169064593202622</v>
      </c>
      <c r="W151" s="3">
        <f t="shared" si="88"/>
        <v>2.3524206047426281E-2</v>
      </c>
      <c r="X151" s="5" t="str">
        <f t="shared" si="101"/>
        <v>PASS</v>
      </c>
      <c r="Y151" s="3">
        <f t="shared" si="89"/>
        <v>3.6843307610717496E-2</v>
      </c>
      <c r="Z151" s="3">
        <f t="shared" si="90"/>
        <v>9.6564683214491135E-3</v>
      </c>
      <c r="AA151" s="3">
        <f t="shared" si="91"/>
        <v>1.8872080753083456E-2</v>
      </c>
      <c r="AB151" s="3">
        <f t="shared" si="92"/>
        <v>4.0268894655973968</v>
      </c>
      <c r="AC151" s="3">
        <f t="shared" si="93"/>
        <v>4.2667485481439718</v>
      </c>
      <c r="AD151" s="3">
        <f t="shared" si="94"/>
        <v>-1.5526619225036489</v>
      </c>
      <c r="AE151" s="3">
        <f t="shared" si="95"/>
        <v>-3.718660317454213</v>
      </c>
      <c r="AF151" s="3">
        <f t="shared" si="96"/>
        <v>-3.3752150783814474</v>
      </c>
      <c r="AG151" s="3">
        <f t="shared" si="97"/>
        <v>5.2971395420899325</v>
      </c>
      <c r="AH151" s="3">
        <f t="shared" si="98"/>
        <v>4.3973435719898424</v>
      </c>
      <c r="AI151" s="3">
        <f t="shared" si="99"/>
        <v>4.3715545825504645</v>
      </c>
      <c r="AJ151" s="11">
        <f t="shared" si="100"/>
        <v>-6.3526196612599559</v>
      </c>
    </row>
    <row r="152" spans="1:36" ht="18" customHeight="1" x14ac:dyDescent="0.25">
      <c r="A152" s="18">
        <f t="shared" si="63"/>
        <v>34</v>
      </c>
      <c r="B152" s="2">
        <v>135</v>
      </c>
      <c r="C152" s="2">
        <v>1</v>
      </c>
      <c r="D152" s="2">
        <v>0</v>
      </c>
      <c r="E152" s="2">
        <v>1</v>
      </c>
      <c r="F152" s="3">
        <f t="shared" si="65"/>
        <v>4.0268894655973968</v>
      </c>
      <c r="G152" s="3">
        <f t="shared" si="65"/>
        <v>4.2667485481439718</v>
      </c>
      <c r="H152" s="3">
        <f t="shared" si="65"/>
        <v>-1.5526619225036489</v>
      </c>
      <c r="I152" s="3">
        <f t="shared" si="65"/>
        <v>-3.718660317454213</v>
      </c>
      <c r="J152" s="3">
        <f t="shared" si="65"/>
        <v>-3.3752150783814474</v>
      </c>
      <c r="K152" s="3">
        <f t="shared" si="65"/>
        <v>5.2971395420899325</v>
      </c>
      <c r="L152" s="3">
        <f t="shared" si="102"/>
        <v>4.3973435719898424</v>
      </c>
      <c r="M152" s="3">
        <f t="shared" si="102"/>
        <v>4.3715545825504645</v>
      </c>
      <c r="N152" s="3">
        <f t="shared" si="102"/>
        <v>-6.3526196612599559</v>
      </c>
      <c r="O152" s="3">
        <f t="shared" si="80"/>
        <v>2.4742275430937477</v>
      </c>
      <c r="P152" s="3">
        <f t="shared" si="81"/>
        <v>0.92231520906307496</v>
      </c>
      <c r="Q152" s="3">
        <f t="shared" si="82"/>
        <v>1.5784792246357195</v>
      </c>
      <c r="R152" s="3">
        <f t="shared" si="83"/>
        <v>0.82898903126035606</v>
      </c>
      <c r="S152" s="3">
        <f t="shared" si="84"/>
        <v>1.3270879931523041</v>
      </c>
      <c r="T152" s="4">
        <f t="shared" si="85"/>
        <v>0.79035854675648076</v>
      </c>
      <c r="U152" s="1">
        <f t="shared" si="86"/>
        <v>1</v>
      </c>
      <c r="V152" s="3">
        <f t="shared" si="87"/>
        <v>0.20964145324351924</v>
      </c>
      <c r="W152" s="3">
        <f t="shared" si="88"/>
        <v>2.1974769459027332E-2</v>
      </c>
      <c r="X152" s="5" t="str">
        <f t="shared" si="101"/>
        <v>PASS</v>
      </c>
      <c r="Y152" s="3">
        <f t="shared" si="89"/>
        <v>3.4735893709891073E-2</v>
      </c>
      <c r="Z152" s="3">
        <f t="shared" si="90"/>
        <v>1.0944205718022746E-2</v>
      </c>
      <c r="AA152" s="3">
        <f t="shared" si="91"/>
        <v>2.1527179588759573E-2</v>
      </c>
      <c r="AB152" s="3">
        <f t="shared" si="92"/>
        <v>4.0542499798924538</v>
      </c>
      <c r="AC152" s="3">
        <f t="shared" si="93"/>
        <v>4.2667485481439718</v>
      </c>
      <c r="AD152" s="3">
        <f t="shared" si="94"/>
        <v>-1.5253014082085921</v>
      </c>
      <c r="AE152" s="3">
        <f t="shared" si="95"/>
        <v>-3.6648423684823141</v>
      </c>
      <c r="AF152" s="3">
        <f t="shared" si="96"/>
        <v>-3.3752150783814474</v>
      </c>
      <c r="AG152" s="3">
        <f t="shared" si="97"/>
        <v>5.3509574910618314</v>
      </c>
      <c r="AH152" s="3">
        <f t="shared" si="98"/>
        <v>4.4774371796624202</v>
      </c>
      <c r="AI152" s="3">
        <f t="shared" si="99"/>
        <v>4.4435437697417779</v>
      </c>
      <c r="AJ152" s="11">
        <f t="shared" si="100"/>
        <v>-6.2657799269852283</v>
      </c>
    </row>
    <row r="153" spans="1:36" ht="18" customHeight="1" x14ac:dyDescent="0.25">
      <c r="A153" s="18">
        <f t="shared" si="63"/>
        <v>34</v>
      </c>
      <c r="B153" s="2">
        <v>136</v>
      </c>
      <c r="C153" s="2">
        <v>1</v>
      </c>
      <c r="D153" s="2">
        <v>1</v>
      </c>
      <c r="E153" s="2">
        <v>0</v>
      </c>
      <c r="F153" s="3">
        <f t="shared" si="65"/>
        <v>4.0542499798924538</v>
      </c>
      <c r="G153" s="3">
        <f t="shared" si="65"/>
        <v>4.2667485481439718</v>
      </c>
      <c r="H153" s="3">
        <f t="shared" si="65"/>
        <v>-1.5253014082085921</v>
      </c>
      <c r="I153" s="3">
        <f t="shared" si="65"/>
        <v>-3.6648423684823141</v>
      </c>
      <c r="J153" s="3">
        <f t="shared" si="65"/>
        <v>-3.3752150783814474</v>
      </c>
      <c r="K153" s="3">
        <f t="shared" si="65"/>
        <v>5.3509574910618314</v>
      </c>
      <c r="L153" s="3">
        <f t="shared" si="102"/>
        <v>4.4774371796624202</v>
      </c>
      <c r="M153" s="3">
        <f t="shared" si="102"/>
        <v>4.4435437697417779</v>
      </c>
      <c r="N153" s="3">
        <f t="shared" si="102"/>
        <v>-6.2657799269852283</v>
      </c>
      <c r="O153" s="3">
        <f t="shared" si="80"/>
        <v>6.7956971198278344</v>
      </c>
      <c r="P153" s="3">
        <f t="shared" si="81"/>
        <v>0.99888267190423219</v>
      </c>
      <c r="Q153" s="3">
        <f t="shared" si="82"/>
        <v>-1.6890999558019297</v>
      </c>
      <c r="R153" s="3">
        <f t="shared" si="83"/>
        <v>0.15589424136592511</v>
      </c>
      <c r="S153" s="3">
        <f t="shared" si="84"/>
        <v>-1.1006226287205028</v>
      </c>
      <c r="T153" s="4">
        <f t="shared" si="85"/>
        <v>0.24962325071560529</v>
      </c>
      <c r="U153" s="1">
        <f t="shared" si="86"/>
        <v>0</v>
      </c>
      <c r="V153" s="3">
        <f t="shared" si="87"/>
        <v>-0.24962325071560529</v>
      </c>
      <c r="W153" s="3">
        <f t="shared" si="88"/>
        <v>3.1155883648912967E-2</v>
      </c>
      <c r="X153" s="5" t="str">
        <f t="shared" si="101"/>
        <v>PASS</v>
      </c>
      <c r="Y153" s="3">
        <f t="shared" si="89"/>
        <v>-4.6757301387108277E-2</v>
      </c>
      <c r="Z153" s="3">
        <f t="shared" si="90"/>
        <v>-2.3365449360819015E-4</v>
      </c>
      <c r="AA153" s="3">
        <f t="shared" si="91"/>
        <v>-2.734046119367713E-2</v>
      </c>
      <c r="AB153" s="3">
        <f t="shared" si="92"/>
        <v>4.0536658436584334</v>
      </c>
      <c r="AC153" s="3">
        <f t="shared" si="93"/>
        <v>4.2661644119099513</v>
      </c>
      <c r="AD153" s="3">
        <f t="shared" si="94"/>
        <v>-1.5258855444426125</v>
      </c>
      <c r="AE153" s="3">
        <f t="shared" si="95"/>
        <v>-3.7331935214665068</v>
      </c>
      <c r="AF153" s="3">
        <f t="shared" si="96"/>
        <v>-3.4435662313656401</v>
      </c>
      <c r="AG153" s="3">
        <f t="shared" si="97"/>
        <v>5.2826063380776382</v>
      </c>
      <c r="AH153" s="3">
        <f t="shared" si="98"/>
        <v>4.360674534310955</v>
      </c>
      <c r="AI153" s="3">
        <f t="shared" si="99"/>
        <v>4.4253207846716247</v>
      </c>
      <c r="AJ153" s="11">
        <f t="shared" si="100"/>
        <v>-6.3826731804529988</v>
      </c>
    </row>
    <row r="154" spans="1:36" ht="18" customHeight="1" x14ac:dyDescent="0.25">
      <c r="A154" s="18">
        <f t="shared" si="63"/>
        <v>35</v>
      </c>
      <c r="B154" s="2">
        <v>137</v>
      </c>
      <c r="C154" s="2">
        <v>0</v>
      </c>
      <c r="D154" s="2">
        <v>0</v>
      </c>
      <c r="E154" s="2">
        <v>0</v>
      </c>
      <c r="F154" s="3">
        <f t="shared" si="65"/>
        <v>4.0536658436584334</v>
      </c>
      <c r="G154" s="3">
        <f t="shared" si="65"/>
        <v>4.2661644119099513</v>
      </c>
      <c r="H154" s="3">
        <f t="shared" si="65"/>
        <v>-1.5258855444426125</v>
      </c>
      <c r="I154" s="3">
        <f t="shared" si="65"/>
        <v>-3.7331935214665068</v>
      </c>
      <c r="J154" s="3">
        <f t="shared" si="65"/>
        <v>-3.4435662313656401</v>
      </c>
      <c r="K154" s="3">
        <f t="shared" si="65"/>
        <v>5.2826063380776382</v>
      </c>
      <c r="L154" s="3">
        <f t="shared" si="102"/>
        <v>4.360674534310955</v>
      </c>
      <c r="M154" s="3">
        <f t="shared" si="102"/>
        <v>4.4253207846716247</v>
      </c>
      <c r="N154" s="3">
        <f t="shared" si="102"/>
        <v>-6.3826731804529988</v>
      </c>
      <c r="O154" s="3">
        <f t="shared" si="80"/>
        <v>-1.5258855444426125</v>
      </c>
      <c r="P154" s="3">
        <f t="shared" si="81"/>
        <v>0.17859647751131438</v>
      </c>
      <c r="Q154" s="3">
        <f t="shared" si="82"/>
        <v>5.2826063380776382</v>
      </c>
      <c r="R154" s="3">
        <f t="shared" si="83"/>
        <v>0.99494649217518494</v>
      </c>
      <c r="S154" s="3">
        <f t="shared" si="84"/>
        <v>-1.2009146775928015</v>
      </c>
      <c r="T154" s="4">
        <f t="shared" si="85"/>
        <v>0.23131254040904145</v>
      </c>
      <c r="U154" s="1">
        <f t="shared" si="86"/>
        <v>0</v>
      </c>
      <c r="V154" s="3">
        <f t="shared" si="87"/>
        <v>-0.23131254040904145</v>
      </c>
      <c r="W154" s="3">
        <f t="shared" si="88"/>
        <v>2.6752745675242218E-2</v>
      </c>
      <c r="X154" s="5" t="str">
        <f t="shared" si="101"/>
        <v>PASS</v>
      </c>
      <c r="Y154" s="3">
        <f t="shared" si="89"/>
        <v>-4.1129000220369888E-2</v>
      </c>
      <c r="Z154" s="3">
        <f t="shared" si="90"/>
        <v>-2.6310631753051535E-2</v>
      </c>
      <c r="AA154" s="3">
        <f t="shared" si="91"/>
        <v>-9.1513586870826599E-4</v>
      </c>
      <c r="AB154" s="3">
        <f t="shared" si="92"/>
        <v>4.0536658436584334</v>
      </c>
      <c r="AC154" s="3">
        <f t="shared" si="93"/>
        <v>4.2661644119099513</v>
      </c>
      <c r="AD154" s="3">
        <f t="shared" si="94"/>
        <v>-1.5916621238252413</v>
      </c>
      <c r="AE154" s="3">
        <f t="shared" si="95"/>
        <v>-3.7331935214665068</v>
      </c>
      <c r="AF154" s="3">
        <f t="shared" si="96"/>
        <v>-3.4435662313656401</v>
      </c>
      <c r="AG154" s="3">
        <f t="shared" si="97"/>
        <v>5.280318498405868</v>
      </c>
      <c r="AH154" s="3">
        <f t="shared" si="98"/>
        <v>4.3423107979036546</v>
      </c>
      <c r="AI154" s="3">
        <f t="shared" si="99"/>
        <v>4.3230178984318011</v>
      </c>
      <c r="AJ154" s="11">
        <f t="shared" si="100"/>
        <v>-6.4854956810039237</v>
      </c>
    </row>
    <row r="155" spans="1:36" ht="18" customHeight="1" x14ac:dyDescent="0.25">
      <c r="A155" s="18">
        <f t="shared" si="63"/>
        <v>35</v>
      </c>
      <c r="B155" s="2">
        <v>138</v>
      </c>
      <c r="C155" s="2">
        <v>0</v>
      </c>
      <c r="D155" s="2">
        <v>1</v>
      </c>
      <c r="E155" s="2">
        <v>1</v>
      </c>
      <c r="F155" s="3">
        <f t="shared" si="65"/>
        <v>4.0536658436584334</v>
      </c>
      <c r="G155" s="3">
        <f t="shared" si="65"/>
        <v>4.2661644119099513</v>
      </c>
      <c r="H155" s="3">
        <f t="shared" si="65"/>
        <v>-1.5916621238252413</v>
      </c>
      <c r="I155" s="3">
        <f t="shared" si="65"/>
        <v>-3.7331935214665068</v>
      </c>
      <c r="J155" s="3">
        <f t="shared" si="65"/>
        <v>-3.4435662313656401</v>
      </c>
      <c r="K155" s="3">
        <f t="shared" si="65"/>
        <v>5.280318498405868</v>
      </c>
      <c r="L155" s="3">
        <f t="shared" si="102"/>
        <v>4.3423107979036546</v>
      </c>
      <c r="M155" s="3">
        <f t="shared" si="102"/>
        <v>4.3230178984318011</v>
      </c>
      <c r="N155" s="3">
        <f t="shared" si="102"/>
        <v>-6.4854956810039237</v>
      </c>
      <c r="O155" s="3">
        <f t="shared" si="80"/>
        <v>2.6745022880847102</v>
      </c>
      <c r="P155" s="3">
        <f t="shared" si="81"/>
        <v>0.93550521111723839</v>
      </c>
      <c r="Q155" s="3">
        <f t="shared" si="82"/>
        <v>1.8367522670402279</v>
      </c>
      <c r="R155" s="3">
        <f t="shared" si="83"/>
        <v>0.86256415081499149</v>
      </c>
      <c r="S155" s="3">
        <f t="shared" si="84"/>
        <v>1.3056389612444335</v>
      </c>
      <c r="T155" s="4">
        <f t="shared" si="85"/>
        <v>0.78678248128591155</v>
      </c>
      <c r="U155" s="1">
        <f t="shared" si="86"/>
        <v>1</v>
      </c>
      <c r="V155" s="3">
        <f t="shared" si="87"/>
        <v>0.21321751871408845</v>
      </c>
      <c r="W155" s="3">
        <f t="shared" si="88"/>
        <v>2.2730855143296331E-2</v>
      </c>
      <c r="X155" s="5" t="str">
        <f t="shared" si="101"/>
        <v>PASS</v>
      </c>
      <c r="Y155" s="3">
        <f t="shared" si="89"/>
        <v>3.5768477222786622E-2</v>
      </c>
      <c r="Z155" s="3">
        <f t="shared" si="90"/>
        <v>9.3711349561776541E-3</v>
      </c>
      <c r="AA155" s="3">
        <f t="shared" si="91"/>
        <v>1.8330694498500444E-2</v>
      </c>
      <c r="AB155" s="3">
        <f t="shared" si="92"/>
        <v>4.0536658436584334</v>
      </c>
      <c r="AC155" s="3">
        <f t="shared" si="93"/>
        <v>4.2895922493003953</v>
      </c>
      <c r="AD155" s="3">
        <f t="shared" si="94"/>
        <v>-1.5682342864347971</v>
      </c>
      <c r="AE155" s="3">
        <f t="shared" si="95"/>
        <v>-3.7331935214665068</v>
      </c>
      <c r="AF155" s="3">
        <f t="shared" si="96"/>
        <v>-3.3977394951193891</v>
      </c>
      <c r="AG155" s="3">
        <f t="shared" si="97"/>
        <v>5.3261452346521194</v>
      </c>
      <c r="AH155" s="3">
        <f t="shared" si="98"/>
        <v>4.4259647899927677</v>
      </c>
      <c r="AI155" s="3">
        <f t="shared" si="99"/>
        <v>4.4001494138858472</v>
      </c>
      <c r="AJ155" s="11">
        <f t="shared" si="100"/>
        <v>-6.3960744879469571</v>
      </c>
    </row>
    <row r="156" spans="1:36" ht="18" customHeight="1" x14ac:dyDescent="0.25">
      <c r="A156" s="18">
        <f t="shared" si="63"/>
        <v>35</v>
      </c>
      <c r="B156" s="2">
        <v>139</v>
      </c>
      <c r="C156" s="2">
        <v>1</v>
      </c>
      <c r="D156" s="2">
        <v>0</v>
      </c>
      <c r="E156" s="2">
        <v>1</v>
      </c>
      <c r="F156" s="3">
        <f t="shared" si="65"/>
        <v>4.0536658436584334</v>
      </c>
      <c r="G156" s="3">
        <f t="shared" si="65"/>
        <v>4.2895922493003953</v>
      </c>
      <c r="H156" s="3">
        <f t="shared" si="65"/>
        <v>-1.5682342864347971</v>
      </c>
      <c r="I156" s="3">
        <f t="shared" si="65"/>
        <v>-3.7331935214665068</v>
      </c>
      <c r="J156" s="3">
        <f t="shared" si="65"/>
        <v>-3.3977394951193891</v>
      </c>
      <c r="K156" s="3">
        <f t="shared" si="65"/>
        <v>5.3261452346521194</v>
      </c>
      <c r="L156" s="3">
        <f t="shared" si="102"/>
        <v>4.4259647899927677</v>
      </c>
      <c r="M156" s="3">
        <f t="shared" si="102"/>
        <v>4.4001494138858472</v>
      </c>
      <c r="N156" s="3">
        <f t="shared" si="102"/>
        <v>-6.3960744879469571</v>
      </c>
      <c r="O156" s="3">
        <f t="shared" si="80"/>
        <v>2.4854315572236363</v>
      </c>
      <c r="P156" s="3">
        <f t="shared" si="81"/>
        <v>0.92311418633467524</v>
      </c>
      <c r="Q156" s="3">
        <f t="shared" si="82"/>
        <v>1.5929517131856126</v>
      </c>
      <c r="R156" s="3">
        <f t="shared" si="83"/>
        <v>0.83103098325063118</v>
      </c>
      <c r="S156" s="3">
        <f t="shared" si="84"/>
        <v>1.3462568917843827</v>
      </c>
      <c r="T156" s="4">
        <f t="shared" si="85"/>
        <v>0.7935170020536475</v>
      </c>
      <c r="U156" s="1">
        <f t="shared" si="86"/>
        <v>1</v>
      </c>
      <c r="V156" s="3">
        <f t="shared" si="87"/>
        <v>0.2064829979463525</v>
      </c>
      <c r="W156" s="3">
        <f t="shared" si="88"/>
        <v>2.1317614220456704E-2</v>
      </c>
      <c r="X156" s="5" t="str">
        <f t="shared" si="101"/>
        <v>PASS</v>
      </c>
      <c r="Y156" s="3">
        <f t="shared" si="89"/>
        <v>3.3831778654306019E-2</v>
      </c>
      <c r="Z156" s="3">
        <f t="shared" si="90"/>
        <v>1.0627581041291138E-2</v>
      </c>
      <c r="AA156" s="3">
        <f t="shared" si="91"/>
        <v>2.0903381527703883E-2</v>
      </c>
      <c r="AB156" s="3">
        <f t="shared" si="92"/>
        <v>4.080234796261661</v>
      </c>
      <c r="AC156" s="3">
        <f t="shared" si="93"/>
        <v>4.2895922493003953</v>
      </c>
      <c r="AD156" s="3">
        <f t="shared" si="94"/>
        <v>-1.5416653338315693</v>
      </c>
      <c r="AE156" s="3">
        <f t="shared" si="95"/>
        <v>-3.6809350676472472</v>
      </c>
      <c r="AF156" s="3">
        <f t="shared" si="96"/>
        <v>-3.3977394951193891</v>
      </c>
      <c r="AG156" s="3">
        <f t="shared" si="97"/>
        <v>5.3784036884713791</v>
      </c>
      <c r="AH156" s="3">
        <f t="shared" si="98"/>
        <v>4.5040412770545792</v>
      </c>
      <c r="AI156" s="3">
        <f t="shared" si="99"/>
        <v>4.4704375545863613</v>
      </c>
      <c r="AJ156" s="11">
        <f t="shared" si="100"/>
        <v>-6.3114950413111917</v>
      </c>
    </row>
    <row r="157" spans="1:36" ht="18" customHeight="1" x14ac:dyDescent="0.25">
      <c r="A157" s="18">
        <f t="shared" si="63"/>
        <v>35</v>
      </c>
      <c r="B157" s="2">
        <v>140</v>
      </c>
      <c r="C157" s="2">
        <v>1</v>
      </c>
      <c r="D157" s="2">
        <v>1</v>
      </c>
      <c r="E157" s="2">
        <v>0</v>
      </c>
      <c r="F157" s="3">
        <f t="shared" si="65"/>
        <v>4.080234796261661</v>
      </c>
      <c r="G157" s="3">
        <f t="shared" si="65"/>
        <v>4.2895922493003953</v>
      </c>
      <c r="H157" s="3">
        <f t="shared" si="65"/>
        <v>-1.5416653338315693</v>
      </c>
      <c r="I157" s="3">
        <f t="shared" si="65"/>
        <v>-3.6809350676472472</v>
      </c>
      <c r="J157" s="3">
        <f t="shared" si="65"/>
        <v>-3.3977394951193891</v>
      </c>
      <c r="K157" s="3">
        <f t="shared" si="65"/>
        <v>5.3784036884713791</v>
      </c>
      <c r="L157" s="3">
        <f t="shared" si="102"/>
        <v>4.5040412770545792</v>
      </c>
      <c r="M157" s="3">
        <f t="shared" si="102"/>
        <v>4.4704375545863613</v>
      </c>
      <c r="N157" s="3">
        <f t="shared" si="102"/>
        <v>-6.3114950413111917</v>
      </c>
      <c r="O157" s="3">
        <f t="shared" si="80"/>
        <v>6.8281617117304867</v>
      </c>
      <c r="P157" s="3">
        <f t="shared" si="81"/>
        <v>0.99891832441522987</v>
      </c>
      <c r="Q157" s="3">
        <f t="shared" si="82"/>
        <v>-1.7002708742952573</v>
      </c>
      <c r="R157" s="3">
        <f t="shared" si="83"/>
        <v>0.1544298906550069</v>
      </c>
      <c r="S157" s="3">
        <f t="shared" si="84"/>
        <v>-1.1219564930039914</v>
      </c>
      <c r="T157" s="4">
        <f t="shared" si="85"/>
        <v>0.24564855455383694</v>
      </c>
      <c r="U157" s="1">
        <f t="shared" si="86"/>
        <v>0</v>
      </c>
      <c r="V157" s="3">
        <f t="shared" si="87"/>
        <v>-0.24564855455383694</v>
      </c>
      <c r="W157" s="3">
        <f t="shared" si="88"/>
        <v>3.01716061771947E-2</v>
      </c>
      <c r="X157" s="5" t="str">
        <f t="shared" si="101"/>
        <v>PASS</v>
      </c>
      <c r="Y157" s="3">
        <f t="shared" si="89"/>
        <v>-4.5519989462398408E-2</v>
      </c>
      <c r="Z157" s="3">
        <f t="shared" si="90"/>
        <v>-2.2152947682944237E-4</v>
      </c>
      <c r="AA157" s="3">
        <f t="shared" si="91"/>
        <v>-2.6572546272196886E-2</v>
      </c>
      <c r="AB157" s="3">
        <f t="shared" si="92"/>
        <v>4.0796809725695873</v>
      </c>
      <c r="AC157" s="3">
        <f t="shared" si="93"/>
        <v>4.2890384256083216</v>
      </c>
      <c r="AD157" s="3">
        <f t="shared" si="94"/>
        <v>-1.542219157523643</v>
      </c>
      <c r="AE157" s="3">
        <f t="shared" si="95"/>
        <v>-3.7473664333277394</v>
      </c>
      <c r="AF157" s="3">
        <f t="shared" si="96"/>
        <v>-3.4641708607998813</v>
      </c>
      <c r="AG157" s="3">
        <f t="shared" si="97"/>
        <v>5.3119723227908873</v>
      </c>
      <c r="AH157" s="3">
        <f t="shared" si="98"/>
        <v>4.3903643980516343</v>
      </c>
      <c r="AI157" s="3">
        <f t="shared" si="99"/>
        <v>4.4528634370981228</v>
      </c>
      <c r="AJ157" s="11">
        <f t="shared" si="100"/>
        <v>-6.4252950149671877</v>
      </c>
    </row>
    <row r="158" spans="1:36" ht="18" customHeight="1" x14ac:dyDescent="0.25">
      <c r="A158" s="18">
        <f t="shared" si="63"/>
        <v>36</v>
      </c>
      <c r="B158" s="2">
        <v>141</v>
      </c>
      <c r="C158" s="2">
        <v>0</v>
      </c>
      <c r="D158" s="2">
        <v>0</v>
      </c>
      <c r="E158" s="2">
        <v>0</v>
      </c>
      <c r="F158" s="3">
        <f t="shared" si="65"/>
        <v>4.0796809725695873</v>
      </c>
      <c r="G158" s="3">
        <f t="shared" si="65"/>
        <v>4.2890384256083216</v>
      </c>
      <c r="H158" s="3">
        <f t="shared" si="65"/>
        <v>-1.542219157523643</v>
      </c>
      <c r="I158" s="3">
        <f t="shared" si="65"/>
        <v>-3.7473664333277394</v>
      </c>
      <c r="J158" s="3">
        <f t="shared" si="65"/>
        <v>-3.4641708607998813</v>
      </c>
      <c r="K158" s="3">
        <f t="shared" si="65"/>
        <v>5.3119723227908873</v>
      </c>
      <c r="L158" s="3">
        <f t="shared" si="102"/>
        <v>4.3903643980516343</v>
      </c>
      <c r="M158" s="3">
        <f t="shared" si="102"/>
        <v>4.4528634370981228</v>
      </c>
      <c r="N158" s="3">
        <f t="shared" si="102"/>
        <v>-6.4252950149671877</v>
      </c>
      <c r="O158" s="3">
        <f t="shared" si="80"/>
        <v>-1.542219157523643</v>
      </c>
      <c r="P158" s="3">
        <f t="shared" si="81"/>
        <v>0.17621290611627746</v>
      </c>
      <c r="Q158" s="3">
        <f t="shared" si="82"/>
        <v>5.3119723227908873</v>
      </c>
      <c r="R158" s="3">
        <f t="shared" si="83"/>
        <v>0.99509201784794787</v>
      </c>
      <c r="S158" s="3">
        <f t="shared" si="84"/>
        <v>-1.220647282653748</v>
      </c>
      <c r="T158" s="4">
        <f t="shared" si="85"/>
        <v>0.22782256090956024</v>
      </c>
      <c r="U158" s="1">
        <f t="shared" si="86"/>
        <v>0</v>
      </c>
      <c r="V158" s="3">
        <f t="shared" si="87"/>
        <v>-0.22782256090956024</v>
      </c>
      <c r="W158" s="3">
        <f t="shared" si="88"/>
        <v>2.5951559629695142E-2</v>
      </c>
      <c r="X158" s="5" t="str">
        <f t="shared" si="101"/>
        <v>PASS</v>
      </c>
      <c r="Y158" s="3">
        <f t="shared" si="89"/>
        <v>-4.0078417710521674E-2</v>
      </c>
      <c r="Z158" s="3">
        <f t="shared" si="90"/>
        <v>-2.5542525323003943E-2</v>
      </c>
      <c r="AA158" s="3">
        <f t="shared" si="91"/>
        <v>-8.7159787102239624E-4</v>
      </c>
      <c r="AB158" s="3">
        <f t="shared" si="92"/>
        <v>4.0796809725695873</v>
      </c>
      <c r="AC158" s="3">
        <f t="shared" si="93"/>
        <v>4.2890384256083216</v>
      </c>
      <c r="AD158" s="3">
        <f t="shared" si="94"/>
        <v>-1.6060754708311529</v>
      </c>
      <c r="AE158" s="3">
        <f t="shared" si="95"/>
        <v>-3.7473664333277394</v>
      </c>
      <c r="AF158" s="3">
        <f t="shared" si="96"/>
        <v>-3.4641708607998813</v>
      </c>
      <c r="AG158" s="3">
        <f t="shared" si="97"/>
        <v>5.3097933281133312</v>
      </c>
      <c r="AH158" s="3">
        <f t="shared" si="98"/>
        <v>4.3727085619083512</v>
      </c>
      <c r="AI158" s="3">
        <f t="shared" si="99"/>
        <v>4.353159153218833</v>
      </c>
      <c r="AJ158" s="11">
        <f t="shared" si="100"/>
        <v>-6.5254910592434916</v>
      </c>
    </row>
    <row r="159" spans="1:36" ht="18" customHeight="1" x14ac:dyDescent="0.25">
      <c r="A159" s="18">
        <f t="shared" si="63"/>
        <v>36</v>
      </c>
      <c r="B159" s="2">
        <v>142</v>
      </c>
      <c r="C159" s="2">
        <v>0</v>
      </c>
      <c r="D159" s="2">
        <v>1</v>
      </c>
      <c r="E159" s="2">
        <v>1</v>
      </c>
      <c r="F159" s="3">
        <f t="shared" si="65"/>
        <v>4.0796809725695873</v>
      </c>
      <c r="G159" s="3">
        <f t="shared" si="65"/>
        <v>4.2890384256083216</v>
      </c>
      <c r="H159" s="3">
        <f t="shared" si="65"/>
        <v>-1.6060754708311529</v>
      </c>
      <c r="I159" s="3">
        <f t="shared" si="65"/>
        <v>-3.7473664333277394</v>
      </c>
      <c r="J159" s="3">
        <f t="shared" si="65"/>
        <v>-3.4641708607998813</v>
      </c>
      <c r="K159" s="3">
        <f t="shared" si="65"/>
        <v>5.3097933281133312</v>
      </c>
      <c r="L159" s="3">
        <f t="shared" si="102"/>
        <v>4.3727085619083512</v>
      </c>
      <c r="M159" s="3">
        <f t="shared" si="102"/>
        <v>4.353159153218833</v>
      </c>
      <c r="N159" s="3">
        <f t="shared" si="102"/>
        <v>-6.5254910592434916</v>
      </c>
      <c r="O159" s="3">
        <f t="shared" si="80"/>
        <v>2.6829629547771687</v>
      </c>
      <c r="P159" s="3">
        <f t="shared" si="81"/>
        <v>0.936013810177308</v>
      </c>
      <c r="Q159" s="3">
        <f t="shared" si="82"/>
        <v>1.8456224673134498</v>
      </c>
      <c r="R159" s="3">
        <f t="shared" si="83"/>
        <v>0.86361231077265177</v>
      </c>
      <c r="S159" s="3">
        <f t="shared" si="84"/>
        <v>1.3268663780557182</v>
      </c>
      <c r="T159" s="4">
        <f t="shared" si="85"/>
        <v>0.79032182456404076</v>
      </c>
      <c r="U159" s="1">
        <f t="shared" si="86"/>
        <v>1</v>
      </c>
      <c r="V159" s="3">
        <f t="shared" si="87"/>
        <v>0.20967817543595924</v>
      </c>
      <c r="W159" s="3">
        <f t="shared" si="88"/>
        <v>2.1982468627076448E-2</v>
      </c>
      <c r="X159" s="5" t="str">
        <f t="shared" si="101"/>
        <v>PASS</v>
      </c>
      <c r="Y159" s="3">
        <f t="shared" si="89"/>
        <v>3.4746449427545685E-2</v>
      </c>
      <c r="Z159" s="3">
        <f t="shared" si="90"/>
        <v>9.0997502335943801E-3</v>
      </c>
      <c r="AA159" s="3">
        <f t="shared" si="91"/>
        <v>1.7815949543036641E-2</v>
      </c>
      <c r="AB159" s="3">
        <f t="shared" si="92"/>
        <v>4.0796809725695873</v>
      </c>
      <c r="AC159" s="3">
        <f t="shared" si="93"/>
        <v>4.3117878011923079</v>
      </c>
      <c r="AD159" s="3">
        <f t="shared" si="94"/>
        <v>-1.5833260952471668</v>
      </c>
      <c r="AE159" s="3">
        <f t="shared" si="95"/>
        <v>-3.7473664333277394</v>
      </c>
      <c r="AF159" s="3">
        <f t="shared" si="96"/>
        <v>-3.4196309869422898</v>
      </c>
      <c r="AG159" s="3">
        <f t="shared" si="97"/>
        <v>5.3543332019709231</v>
      </c>
      <c r="AH159" s="3">
        <f t="shared" si="98"/>
        <v>4.4540164532053765</v>
      </c>
      <c r="AI159" s="3">
        <f t="shared" si="99"/>
        <v>4.4281778069220028</v>
      </c>
      <c r="AJ159" s="11">
        <f t="shared" si="100"/>
        <v>-6.4386249356746275</v>
      </c>
    </row>
    <row r="160" spans="1:36" ht="18" customHeight="1" x14ac:dyDescent="0.25">
      <c r="A160" s="18">
        <f t="shared" si="63"/>
        <v>36</v>
      </c>
      <c r="B160" s="2">
        <v>143</v>
      </c>
      <c r="C160" s="2">
        <v>1</v>
      </c>
      <c r="D160" s="2">
        <v>0</v>
      </c>
      <c r="E160" s="2">
        <v>1</v>
      </c>
      <c r="F160" s="3">
        <f t="shared" si="65"/>
        <v>4.0796809725695873</v>
      </c>
      <c r="G160" s="3">
        <f t="shared" si="65"/>
        <v>4.3117878011923079</v>
      </c>
      <c r="H160" s="3">
        <f t="shared" si="65"/>
        <v>-1.5833260952471668</v>
      </c>
      <c r="I160" s="3">
        <f t="shared" si="65"/>
        <v>-3.7473664333277394</v>
      </c>
      <c r="J160" s="3">
        <f t="shared" si="65"/>
        <v>-3.4196309869422898</v>
      </c>
      <c r="K160" s="3">
        <f t="shared" si="65"/>
        <v>5.3543332019709231</v>
      </c>
      <c r="L160" s="3">
        <f t="shared" si="102"/>
        <v>4.4540164532053765</v>
      </c>
      <c r="M160" s="3">
        <f t="shared" si="102"/>
        <v>4.4281778069220028</v>
      </c>
      <c r="N160" s="3">
        <f t="shared" si="102"/>
        <v>-6.4386249356746275</v>
      </c>
      <c r="O160" s="3">
        <f t="shared" si="80"/>
        <v>2.4963548773224202</v>
      </c>
      <c r="P160" s="3">
        <f t="shared" si="81"/>
        <v>0.92388588793169735</v>
      </c>
      <c r="Q160" s="3">
        <f t="shared" si="82"/>
        <v>1.6069667686431837</v>
      </c>
      <c r="R160" s="3">
        <f t="shared" si="83"/>
        <v>0.83298983614908217</v>
      </c>
      <c r="S160" s="3">
        <f t="shared" si="84"/>
        <v>1.3650051158843732</v>
      </c>
      <c r="T160" s="4">
        <f t="shared" si="85"/>
        <v>0.79657195609605669</v>
      </c>
      <c r="U160" s="1">
        <f t="shared" si="86"/>
        <v>1</v>
      </c>
      <c r="V160" s="3">
        <f t="shared" si="87"/>
        <v>0.20342804390394331</v>
      </c>
      <c r="W160" s="3">
        <f t="shared" si="88"/>
        <v>2.0691484523292343E-2</v>
      </c>
      <c r="X160" s="5" t="str">
        <f t="shared" si="101"/>
        <v>PASS</v>
      </c>
      <c r="Y160" s="3">
        <f t="shared" si="89"/>
        <v>3.296451260250053E-2</v>
      </c>
      <c r="Z160" s="3">
        <f t="shared" si="90"/>
        <v>1.0324808246794725E-2</v>
      </c>
      <c r="AA160" s="3">
        <f t="shared" si="91"/>
        <v>2.0307399578766996E-2</v>
      </c>
      <c r="AB160" s="3">
        <f t="shared" si="92"/>
        <v>4.1054929931865738</v>
      </c>
      <c r="AC160" s="3">
        <f t="shared" si="93"/>
        <v>4.3117878011923079</v>
      </c>
      <c r="AD160" s="3">
        <f t="shared" si="94"/>
        <v>-1.5575140746301801</v>
      </c>
      <c r="AE160" s="3">
        <f t="shared" si="95"/>
        <v>-3.6965979343808217</v>
      </c>
      <c r="AF160" s="3">
        <f t="shared" si="96"/>
        <v>-3.4196309869422898</v>
      </c>
      <c r="AG160" s="3">
        <f t="shared" si="97"/>
        <v>5.4051017009178404</v>
      </c>
      <c r="AH160" s="3">
        <f t="shared" si="98"/>
        <v>4.5301550731953686</v>
      </c>
      <c r="AI160" s="3">
        <f t="shared" si="99"/>
        <v>4.4968255668007311</v>
      </c>
      <c r="AJ160" s="11">
        <f t="shared" si="100"/>
        <v>-6.3562136541683758</v>
      </c>
    </row>
    <row r="161" spans="1:36" ht="18" customHeight="1" x14ac:dyDescent="0.25">
      <c r="A161" s="18">
        <f t="shared" si="63"/>
        <v>36</v>
      </c>
      <c r="B161" s="2">
        <v>144</v>
      </c>
      <c r="C161" s="2">
        <v>1</v>
      </c>
      <c r="D161" s="2">
        <v>1</v>
      </c>
      <c r="E161" s="2">
        <v>0</v>
      </c>
      <c r="F161" s="3">
        <f t="shared" si="65"/>
        <v>4.1054929931865738</v>
      </c>
      <c r="G161" s="3">
        <f t="shared" si="65"/>
        <v>4.3117878011923079</v>
      </c>
      <c r="H161" s="3">
        <f t="shared" si="65"/>
        <v>-1.5575140746301801</v>
      </c>
      <c r="I161" s="3">
        <f t="shared" si="65"/>
        <v>-3.6965979343808217</v>
      </c>
      <c r="J161" s="3">
        <f t="shared" si="65"/>
        <v>-3.4196309869422898</v>
      </c>
      <c r="K161" s="3">
        <f t="shared" si="65"/>
        <v>5.4051017009178404</v>
      </c>
      <c r="L161" s="3">
        <f t="shared" si="102"/>
        <v>4.5301550731953686</v>
      </c>
      <c r="M161" s="3">
        <f t="shared" si="102"/>
        <v>4.4968255668007311</v>
      </c>
      <c r="N161" s="3">
        <f t="shared" si="102"/>
        <v>-6.3562136541683758</v>
      </c>
      <c r="O161" s="3">
        <f t="shared" si="80"/>
        <v>6.859766719748702</v>
      </c>
      <c r="P161" s="3">
        <f t="shared" si="81"/>
        <v>0.99895194092816642</v>
      </c>
      <c r="Q161" s="3">
        <f t="shared" si="82"/>
        <v>-1.7111272204052712</v>
      </c>
      <c r="R161" s="3">
        <f t="shared" si="83"/>
        <v>0.15301756725622911</v>
      </c>
      <c r="S161" s="3">
        <f t="shared" si="84"/>
        <v>-1.1427131424868211</v>
      </c>
      <c r="T161" s="4">
        <f t="shared" si="85"/>
        <v>0.24182257308968336</v>
      </c>
      <c r="U161" s="1">
        <f t="shared" si="86"/>
        <v>0</v>
      </c>
      <c r="V161" s="3">
        <f t="shared" si="87"/>
        <v>-0.24182257308968336</v>
      </c>
      <c r="W161" s="3">
        <f t="shared" si="88"/>
        <v>2.9239078427857626E-2</v>
      </c>
      <c r="X161" s="5" t="str">
        <f t="shared" si="101"/>
        <v>PASS</v>
      </c>
      <c r="Y161" s="3">
        <f t="shared" si="89"/>
        <v>-4.433681849532408E-2</v>
      </c>
      <c r="Z161" s="3">
        <f t="shared" si="90"/>
        <v>-2.1028483365372887E-4</v>
      </c>
      <c r="AA161" s="3">
        <f t="shared" si="91"/>
        <v>-2.5839628367908433E-2</v>
      </c>
      <c r="AB161" s="3">
        <f t="shared" si="92"/>
        <v>4.1049672811024394</v>
      </c>
      <c r="AC161" s="3">
        <f t="shared" si="93"/>
        <v>4.3112620891081734</v>
      </c>
      <c r="AD161" s="3">
        <f t="shared" si="94"/>
        <v>-1.5580397867143145</v>
      </c>
      <c r="AE161" s="3">
        <f t="shared" si="95"/>
        <v>-3.761197005300593</v>
      </c>
      <c r="AF161" s="3">
        <f t="shared" si="96"/>
        <v>-3.4842300578620611</v>
      </c>
      <c r="AG161" s="3">
        <f t="shared" si="97"/>
        <v>5.3405026299980696</v>
      </c>
      <c r="AH161" s="3">
        <f t="shared" si="98"/>
        <v>4.4194291959691592</v>
      </c>
      <c r="AI161" s="3">
        <f t="shared" si="99"/>
        <v>4.479864786535642</v>
      </c>
      <c r="AJ161" s="11">
        <f t="shared" si="100"/>
        <v>-6.4670557004066858</v>
      </c>
    </row>
    <row r="162" spans="1:36" ht="18" customHeight="1" x14ac:dyDescent="0.25">
      <c r="A162" s="18">
        <f t="shared" si="63"/>
        <v>37</v>
      </c>
      <c r="B162" s="2">
        <v>145</v>
      </c>
      <c r="C162" s="2">
        <v>0</v>
      </c>
      <c r="D162" s="2">
        <v>0</v>
      </c>
      <c r="E162" s="2">
        <v>0</v>
      </c>
      <c r="F162" s="3">
        <f t="shared" si="65"/>
        <v>4.1049672811024394</v>
      </c>
      <c r="G162" s="3">
        <f t="shared" si="65"/>
        <v>4.3112620891081734</v>
      </c>
      <c r="H162" s="3">
        <f t="shared" si="65"/>
        <v>-1.5580397867143145</v>
      </c>
      <c r="I162" s="3">
        <f t="shared" si="65"/>
        <v>-3.761197005300593</v>
      </c>
      <c r="J162" s="3">
        <f t="shared" si="65"/>
        <v>-3.4842300578620611</v>
      </c>
      <c r="K162" s="3">
        <f t="shared" si="65"/>
        <v>5.3405026299980696</v>
      </c>
      <c r="L162" s="3">
        <f t="shared" si="102"/>
        <v>4.4194291959691592</v>
      </c>
      <c r="M162" s="3">
        <f t="shared" si="102"/>
        <v>4.479864786535642</v>
      </c>
      <c r="N162" s="3">
        <f t="shared" si="102"/>
        <v>-6.4670557004066858</v>
      </c>
      <c r="O162" s="3">
        <f t="shared" si="80"/>
        <v>-1.5580397867143145</v>
      </c>
      <c r="P162" s="3">
        <f t="shared" si="81"/>
        <v>0.17392810482722695</v>
      </c>
      <c r="Q162" s="3">
        <f t="shared" si="82"/>
        <v>5.3405026299980696</v>
      </c>
      <c r="R162" s="3">
        <f t="shared" si="83"/>
        <v>0.99522940688342609</v>
      </c>
      <c r="S162" s="3">
        <f t="shared" si="84"/>
        <v>-1.2398995815118417</v>
      </c>
      <c r="T162" s="4">
        <f t="shared" si="85"/>
        <v>0.22445346550593248</v>
      </c>
      <c r="U162" s="1">
        <f t="shared" si="86"/>
        <v>0</v>
      </c>
      <c r="V162" s="3">
        <f t="shared" si="87"/>
        <v>-0.22445346550593248</v>
      </c>
      <c r="W162" s="3">
        <f t="shared" si="88"/>
        <v>2.5189679088811413E-2</v>
      </c>
      <c r="X162" s="5" t="str">
        <f t="shared" si="101"/>
        <v>PASS</v>
      </c>
      <c r="Y162" s="3">
        <f t="shared" si="89"/>
        <v>-3.9071536644690742E-2</v>
      </c>
      <c r="Z162" s="3">
        <f t="shared" si="90"/>
        <v>-2.4809287040770768E-2</v>
      </c>
      <c r="AA162" s="3">
        <f t="shared" si="91"/>
        <v>-8.3103817696399238E-4</v>
      </c>
      <c r="AB162" s="3">
        <f t="shared" si="92"/>
        <v>4.1049672811024394</v>
      </c>
      <c r="AC162" s="3">
        <f t="shared" si="93"/>
        <v>4.3112620891081734</v>
      </c>
      <c r="AD162" s="3">
        <f t="shared" si="94"/>
        <v>-1.6200630043162414</v>
      </c>
      <c r="AE162" s="3">
        <f t="shared" si="95"/>
        <v>-3.761197005300593</v>
      </c>
      <c r="AF162" s="3">
        <f t="shared" si="96"/>
        <v>-3.4842300578620611</v>
      </c>
      <c r="AG162" s="3">
        <f t="shared" si="97"/>
        <v>5.3384250345556596</v>
      </c>
      <c r="AH162" s="3">
        <f t="shared" si="98"/>
        <v>4.4024401001659124</v>
      </c>
      <c r="AI162" s="3">
        <f t="shared" si="99"/>
        <v>4.3826519309333429</v>
      </c>
      <c r="AJ162" s="11">
        <f t="shared" si="100"/>
        <v>-6.5647345420184129</v>
      </c>
    </row>
    <row r="163" spans="1:36" ht="18" customHeight="1" x14ac:dyDescent="0.25">
      <c r="A163" s="18">
        <f t="shared" si="63"/>
        <v>37</v>
      </c>
      <c r="B163" s="2">
        <v>146</v>
      </c>
      <c r="C163" s="2">
        <v>0</v>
      </c>
      <c r="D163" s="2">
        <v>1</v>
      </c>
      <c r="E163" s="2">
        <v>1</v>
      </c>
      <c r="F163" s="3">
        <f t="shared" si="65"/>
        <v>4.1049672811024394</v>
      </c>
      <c r="G163" s="3">
        <f t="shared" si="65"/>
        <v>4.3112620891081734</v>
      </c>
      <c r="H163" s="3">
        <f t="shared" si="65"/>
        <v>-1.6200630043162414</v>
      </c>
      <c r="I163" s="3">
        <f t="shared" si="65"/>
        <v>-3.761197005300593</v>
      </c>
      <c r="J163" s="3">
        <f t="shared" si="65"/>
        <v>-3.4842300578620611</v>
      </c>
      <c r="K163" s="3">
        <f t="shared" si="65"/>
        <v>5.3384250345556596</v>
      </c>
      <c r="L163" s="3">
        <f t="shared" si="102"/>
        <v>4.4024401001659124</v>
      </c>
      <c r="M163" s="3">
        <f t="shared" si="102"/>
        <v>4.3826519309333429</v>
      </c>
      <c r="N163" s="3">
        <f t="shared" si="102"/>
        <v>-6.5647345420184129</v>
      </c>
      <c r="O163" s="3">
        <f t="shared" si="80"/>
        <v>2.6911990847919318</v>
      </c>
      <c r="P163" s="3">
        <f t="shared" si="81"/>
        <v>0.936505320300836</v>
      </c>
      <c r="Q163" s="3">
        <f t="shared" si="82"/>
        <v>1.8541949766935986</v>
      </c>
      <c r="R163" s="3">
        <f t="shared" si="83"/>
        <v>0.8646188893720349</v>
      </c>
      <c r="S163" s="3">
        <f t="shared" si="84"/>
        <v>1.3474976791205</v>
      </c>
      <c r="T163" s="4">
        <f t="shared" si="85"/>
        <v>0.79372022825163591</v>
      </c>
      <c r="U163" s="1">
        <f t="shared" si="86"/>
        <v>1</v>
      </c>
      <c r="V163" s="3">
        <f t="shared" si="87"/>
        <v>0.20627977174836409</v>
      </c>
      <c r="W163" s="3">
        <f t="shared" si="88"/>
        <v>2.1275672116278593E-2</v>
      </c>
      <c r="X163" s="5" t="str">
        <f t="shared" si="101"/>
        <v>PASS</v>
      </c>
      <c r="Y163" s="3">
        <f t="shared" si="89"/>
        <v>3.3773862656679227E-2</v>
      </c>
      <c r="Z163" s="3">
        <f t="shared" si="90"/>
        <v>8.8414149641962824E-3</v>
      </c>
      <c r="AA163" s="3">
        <f t="shared" si="91"/>
        <v>1.7326087581984777E-2</v>
      </c>
      <c r="AB163" s="3">
        <f t="shared" si="92"/>
        <v>4.1049672811024394</v>
      </c>
      <c r="AC163" s="3">
        <f t="shared" si="93"/>
        <v>4.3333656265186642</v>
      </c>
      <c r="AD163" s="3">
        <f t="shared" si="94"/>
        <v>-1.5979594669057506</v>
      </c>
      <c r="AE163" s="3">
        <f t="shared" si="95"/>
        <v>-3.761197005300593</v>
      </c>
      <c r="AF163" s="3">
        <f t="shared" si="96"/>
        <v>-3.4409148389070991</v>
      </c>
      <c r="AG163" s="3">
        <f t="shared" si="97"/>
        <v>5.381740253510622</v>
      </c>
      <c r="AH163" s="3">
        <f t="shared" si="98"/>
        <v>4.4815136053286366</v>
      </c>
      <c r="AI163" s="3">
        <f t="shared" si="99"/>
        <v>4.4556557299833974</v>
      </c>
      <c r="AJ163" s="11">
        <f t="shared" si="100"/>
        <v>-6.4802998853767146</v>
      </c>
    </row>
    <row r="164" spans="1:36" ht="18" customHeight="1" x14ac:dyDescent="0.25">
      <c r="A164" s="18">
        <f t="shared" si="63"/>
        <v>37</v>
      </c>
      <c r="B164" s="2">
        <v>147</v>
      </c>
      <c r="C164" s="2">
        <v>1</v>
      </c>
      <c r="D164" s="2">
        <v>0</v>
      </c>
      <c r="E164" s="2">
        <v>1</v>
      </c>
      <c r="F164" s="3">
        <f t="shared" ref="F164:N205" si="103">AB163</f>
        <v>4.1049672811024394</v>
      </c>
      <c r="G164" s="3">
        <f t="shared" si="103"/>
        <v>4.3333656265186642</v>
      </c>
      <c r="H164" s="3">
        <f t="shared" si="103"/>
        <v>-1.5979594669057506</v>
      </c>
      <c r="I164" s="3">
        <f t="shared" si="103"/>
        <v>-3.761197005300593</v>
      </c>
      <c r="J164" s="3">
        <f t="shared" si="103"/>
        <v>-3.4409148389070991</v>
      </c>
      <c r="K164" s="3">
        <f t="shared" si="103"/>
        <v>5.381740253510622</v>
      </c>
      <c r="L164" s="3">
        <f t="shared" si="102"/>
        <v>4.4815136053286366</v>
      </c>
      <c r="M164" s="3">
        <f t="shared" si="102"/>
        <v>4.4556557299833974</v>
      </c>
      <c r="N164" s="3">
        <f t="shared" si="102"/>
        <v>-6.4802998853767146</v>
      </c>
      <c r="O164" s="3">
        <f t="shared" si="80"/>
        <v>2.5070078141966885</v>
      </c>
      <c r="P164" s="3">
        <f t="shared" si="81"/>
        <v>0.92463163591089692</v>
      </c>
      <c r="Q164" s="3">
        <f t="shared" si="82"/>
        <v>1.620543248210029</v>
      </c>
      <c r="R164" s="3">
        <f t="shared" si="83"/>
        <v>0.83487003675093396</v>
      </c>
      <c r="S164" s="3">
        <f t="shared" si="84"/>
        <v>1.383342833915993</v>
      </c>
      <c r="T164" s="4">
        <f t="shared" si="85"/>
        <v>0.79952733746761329</v>
      </c>
      <c r="U164" s="1">
        <f t="shared" si="86"/>
        <v>1</v>
      </c>
      <c r="V164" s="3">
        <f t="shared" si="87"/>
        <v>0.20047266253238671</v>
      </c>
      <c r="W164" s="3">
        <f t="shared" si="88"/>
        <v>2.0094644211412105E-2</v>
      </c>
      <c r="X164" s="5" t="str">
        <f t="shared" si="101"/>
        <v>PASS</v>
      </c>
      <c r="Y164" s="3">
        <f t="shared" si="89"/>
        <v>3.2132434767418616E-2</v>
      </c>
      <c r="Z164" s="3">
        <f t="shared" si="90"/>
        <v>1.003520366917131E-2</v>
      </c>
      <c r="AA164" s="3">
        <f t="shared" si="91"/>
        <v>1.9737858024693713E-2</v>
      </c>
      <c r="AB164" s="3">
        <f t="shared" si="92"/>
        <v>4.1300552902753678</v>
      </c>
      <c r="AC164" s="3">
        <f t="shared" si="93"/>
        <v>4.3333656265186642</v>
      </c>
      <c r="AD164" s="3">
        <f t="shared" si="94"/>
        <v>-1.5728714577328224</v>
      </c>
      <c r="AE164" s="3">
        <f t="shared" si="95"/>
        <v>-3.7118523602388587</v>
      </c>
      <c r="AF164" s="3">
        <f t="shared" si="96"/>
        <v>-3.4409148389070991</v>
      </c>
      <c r="AG164" s="3">
        <f t="shared" si="97"/>
        <v>5.4310848985723563</v>
      </c>
      <c r="AH164" s="3">
        <f t="shared" si="98"/>
        <v>4.5557902696406325</v>
      </c>
      <c r="AI164" s="3">
        <f t="shared" si="99"/>
        <v>4.5227217474713273</v>
      </c>
      <c r="AJ164" s="11">
        <f t="shared" si="100"/>
        <v>-6.3999687984581684</v>
      </c>
    </row>
    <row r="165" spans="1:36" ht="18" customHeight="1" x14ac:dyDescent="0.25">
      <c r="A165" s="18">
        <f t="shared" si="63"/>
        <v>37</v>
      </c>
      <c r="B165" s="2">
        <v>148</v>
      </c>
      <c r="C165" s="2">
        <v>1</v>
      </c>
      <c r="D165" s="2">
        <v>1</v>
      </c>
      <c r="E165" s="2">
        <v>0</v>
      </c>
      <c r="F165" s="3">
        <f t="shared" si="103"/>
        <v>4.1300552902753678</v>
      </c>
      <c r="G165" s="3">
        <f t="shared" si="103"/>
        <v>4.3333656265186642</v>
      </c>
      <c r="H165" s="3">
        <f t="shared" si="103"/>
        <v>-1.5728714577328224</v>
      </c>
      <c r="I165" s="3">
        <f t="shared" si="103"/>
        <v>-3.7118523602388587</v>
      </c>
      <c r="J165" s="3">
        <f t="shared" si="103"/>
        <v>-3.4409148389070991</v>
      </c>
      <c r="K165" s="3">
        <f t="shared" si="103"/>
        <v>5.4310848985723563</v>
      </c>
      <c r="L165" s="3">
        <f t="shared" si="102"/>
        <v>4.5557902696406325</v>
      </c>
      <c r="M165" s="3">
        <f t="shared" si="102"/>
        <v>4.5227217474713273</v>
      </c>
      <c r="N165" s="3">
        <f t="shared" si="102"/>
        <v>-6.3999687984581684</v>
      </c>
      <c r="O165" s="3">
        <f t="shared" si="80"/>
        <v>6.8905494590612095</v>
      </c>
      <c r="P165" s="3">
        <f t="shared" si="81"/>
        <v>0.99898367926602727</v>
      </c>
      <c r="Q165" s="3">
        <f t="shared" si="82"/>
        <v>-1.7216823005736011</v>
      </c>
      <c r="R165" s="3">
        <f t="shared" si="83"/>
        <v>0.15165459960530273</v>
      </c>
      <c r="S165" s="3">
        <f t="shared" si="84"/>
        <v>-1.1629171171892434</v>
      </c>
      <c r="T165" s="4">
        <f t="shared" si="85"/>
        <v>0.2381376339082911</v>
      </c>
      <c r="U165" s="1">
        <f t="shared" si="86"/>
        <v>0</v>
      </c>
      <c r="V165" s="3">
        <f t="shared" si="87"/>
        <v>-0.2381376339082911</v>
      </c>
      <c r="W165" s="3">
        <f t="shared" si="88"/>
        <v>2.8354766341719635E-2</v>
      </c>
      <c r="X165" s="5" t="str">
        <f t="shared" si="101"/>
        <v>PASS</v>
      </c>
      <c r="Y165" s="3">
        <f t="shared" si="89"/>
        <v>-4.3204858750160141E-2</v>
      </c>
      <c r="Z165" s="3">
        <f t="shared" si="90"/>
        <v>-1.9984141269526381E-4</v>
      </c>
      <c r="AA165" s="3">
        <f t="shared" si="91"/>
        <v>-2.5139738463238529E-2</v>
      </c>
      <c r="AB165" s="3">
        <f t="shared" si="92"/>
        <v>4.1295556867436298</v>
      </c>
      <c r="AC165" s="3">
        <f t="shared" si="93"/>
        <v>4.3328660229869262</v>
      </c>
      <c r="AD165" s="3">
        <f t="shared" si="94"/>
        <v>-1.5733710612645606</v>
      </c>
      <c r="AE165" s="3">
        <f t="shared" si="95"/>
        <v>-3.774701706396955</v>
      </c>
      <c r="AF165" s="3">
        <f t="shared" si="96"/>
        <v>-3.5037641850651955</v>
      </c>
      <c r="AG165" s="3">
        <f t="shared" si="97"/>
        <v>5.3682355524142604</v>
      </c>
      <c r="AH165" s="3">
        <f t="shared" si="98"/>
        <v>4.4478878977496228</v>
      </c>
      <c r="AI165" s="3">
        <f t="shared" si="99"/>
        <v>4.5063412085844297</v>
      </c>
      <c r="AJ165" s="11">
        <f t="shared" si="100"/>
        <v>-6.5079809453335686</v>
      </c>
    </row>
    <row r="166" spans="1:36" ht="18" customHeight="1" x14ac:dyDescent="0.25">
      <c r="A166" s="18">
        <f t="shared" si="63"/>
        <v>38</v>
      </c>
      <c r="B166" s="2">
        <v>149</v>
      </c>
      <c r="C166" s="2">
        <v>0</v>
      </c>
      <c r="D166" s="2">
        <v>0</v>
      </c>
      <c r="E166" s="2">
        <v>0</v>
      </c>
      <c r="F166" s="3">
        <f t="shared" si="103"/>
        <v>4.1295556867436298</v>
      </c>
      <c r="G166" s="3">
        <f t="shared" si="103"/>
        <v>4.3328660229869262</v>
      </c>
      <c r="H166" s="3">
        <f t="shared" si="103"/>
        <v>-1.5733710612645606</v>
      </c>
      <c r="I166" s="3">
        <f t="shared" si="103"/>
        <v>-3.774701706396955</v>
      </c>
      <c r="J166" s="3">
        <f t="shared" si="103"/>
        <v>-3.5037641850651955</v>
      </c>
      <c r="K166" s="3">
        <f t="shared" si="103"/>
        <v>5.3682355524142604</v>
      </c>
      <c r="L166" s="3">
        <f t="shared" si="102"/>
        <v>4.4478878977496228</v>
      </c>
      <c r="M166" s="3">
        <f t="shared" si="102"/>
        <v>4.5063412085844297</v>
      </c>
      <c r="N166" s="3">
        <f t="shared" si="102"/>
        <v>-6.5079809453335686</v>
      </c>
      <c r="O166" s="3">
        <f t="shared" si="80"/>
        <v>-1.5733710612645606</v>
      </c>
      <c r="P166" s="3">
        <f t="shared" si="81"/>
        <v>0.17173635118763497</v>
      </c>
      <c r="Q166" s="3">
        <f t="shared" si="82"/>
        <v>5.3682355524142604</v>
      </c>
      <c r="R166" s="3">
        <f t="shared" si="83"/>
        <v>0.99535928610479307</v>
      </c>
      <c r="S166" s="3">
        <f t="shared" si="84"/>
        <v>-1.2586883389611998</v>
      </c>
      <c r="T166" s="4">
        <f t="shared" si="85"/>
        <v>0.22119976999970831</v>
      </c>
      <c r="U166" s="1">
        <f t="shared" si="86"/>
        <v>0</v>
      </c>
      <c r="V166" s="3">
        <f t="shared" si="87"/>
        <v>-0.22119976999970831</v>
      </c>
      <c r="W166" s="3">
        <f t="shared" si="88"/>
        <v>2.4464669123961929E-2</v>
      </c>
      <c r="X166" s="5" t="str">
        <f t="shared" si="101"/>
        <v>PASS</v>
      </c>
      <c r="Y166" s="3">
        <f t="shared" si="89"/>
        <v>-3.8106179881245164E-2</v>
      </c>
      <c r="Z166" s="3">
        <f t="shared" si="90"/>
        <v>-2.4109048957246713E-2</v>
      </c>
      <c r="AA166" s="3">
        <f t="shared" si="91"/>
        <v>-7.9320264289948637E-4</v>
      </c>
      <c r="AB166" s="3">
        <f t="shared" si="92"/>
        <v>4.1295556867436298</v>
      </c>
      <c r="AC166" s="3">
        <f t="shared" si="93"/>
        <v>4.3328660229869262</v>
      </c>
      <c r="AD166" s="3">
        <f t="shared" si="94"/>
        <v>-1.6336436836576773</v>
      </c>
      <c r="AE166" s="3">
        <f t="shared" si="95"/>
        <v>-3.774701706396955</v>
      </c>
      <c r="AF166" s="3">
        <f t="shared" si="96"/>
        <v>-3.5037641850651955</v>
      </c>
      <c r="AG166" s="3">
        <f t="shared" si="97"/>
        <v>5.3662525458070114</v>
      </c>
      <c r="AH166" s="3">
        <f t="shared" si="98"/>
        <v>4.4315273570233611</v>
      </c>
      <c r="AI166" s="3">
        <f t="shared" si="99"/>
        <v>4.4115178585774872</v>
      </c>
      <c r="AJ166" s="11">
        <f t="shared" si="100"/>
        <v>-6.6032463950366811</v>
      </c>
    </row>
    <row r="167" spans="1:36" ht="18" customHeight="1" x14ac:dyDescent="0.25">
      <c r="A167" s="18">
        <f t="shared" ref="A167:A217" si="104">INT((ROW()-18)/4) + 1</f>
        <v>38</v>
      </c>
      <c r="B167" s="2">
        <v>150</v>
      </c>
      <c r="C167" s="2">
        <v>0</v>
      </c>
      <c r="D167" s="2">
        <v>1</v>
      </c>
      <c r="E167" s="2">
        <v>1</v>
      </c>
      <c r="F167" s="3">
        <f t="shared" si="103"/>
        <v>4.1295556867436298</v>
      </c>
      <c r="G167" s="3">
        <f t="shared" si="103"/>
        <v>4.3328660229869262</v>
      </c>
      <c r="H167" s="3">
        <f t="shared" si="103"/>
        <v>-1.6336436836576773</v>
      </c>
      <c r="I167" s="3">
        <f t="shared" si="103"/>
        <v>-3.774701706396955</v>
      </c>
      <c r="J167" s="3">
        <f t="shared" si="103"/>
        <v>-3.5037641850651955</v>
      </c>
      <c r="K167" s="3">
        <f t="shared" si="103"/>
        <v>5.3662525458070114</v>
      </c>
      <c r="L167" s="3">
        <f t="shared" si="102"/>
        <v>4.4315273570233611</v>
      </c>
      <c r="M167" s="3">
        <f t="shared" si="102"/>
        <v>4.4115178585774872</v>
      </c>
      <c r="N167" s="3">
        <f t="shared" si="102"/>
        <v>-6.6032463950366811</v>
      </c>
      <c r="O167" s="3">
        <f t="shared" si="80"/>
        <v>2.6992223393292489</v>
      </c>
      <c r="P167" s="3">
        <f t="shared" si="81"/>
        <v>0.93698074036732981</v>
      </c>
      <c r="Q167" s="3">
        <f t="shared" si="82"/>
        <v>1.8624883607418159</v>
      </c>
      <c r="R167" s="3">
        <f t="shared" si="83"/>
        <v>0.86558672319465457</v>
      </c>
      <c r="S167" s="3">
        <f t="shared" si="84"/>
        <v>1.3675606764259314</v>
      </c>
      <c r="T167" s="4">
        <f t="shared" si="85"/>
        <v>0.79698575824631801</v>
      </c>
      <c r="U167" s="1">
        <f t="shared" si="86"/>
        <v>1</v>
      </c>
      <c r="V167" s="3">
        <f t="shared" si="87"/>
        <v>0.20301424175368199</v>
      </c>
      <c r="W167" s="3">
        <f t="shared" si="88"/>
        <v>2.0607391177411217E-2</v>
      </c>
      <c r="X167" s="5" t="str">
        <f t="shared" si="101"/>
        <v>PASS</v>
      </c>
      <c r="Y167" s="3">
        <f t="shared" si="89"/>
        <v>3.2847594566015131E-2</v>
      </c>
      <c r="Z167" s="3">
        <f t="shared" si="90"/>
        <v>8.5952985674897318E-3</v>
      </c>
      <c r="AA167" s="3">
        <f t="shared" si="91"/>
        <v>1.6859487488434615E-2</v>
      </c>
      <c r="AB167" s="3">
        <f t="shared" si="92"/>
        <v>4.1295556867436298</v>
      </c>
      <c r="AC167" s="3">
        <f t="shared" si="93"/>
        <v>4.3543542694056505</v>
      </c>
      <c r="AD167" s="3">
        <f t="shared" si="94"/>
        <v>-1.612155437238953</v>
      </c>
      <c r="AE167" s="3">
        <f t="shared" si="95"/>
        <v>-3.774701706396955</v>
      </c>
      <c r="AF167" s="3">
        <f t="shared" si="96"/>
        <v>-3.4616154663441088</v>
      </c>
      <c r="AG167" s="3">
        <f t="shared" si="97"/>
        <v>5.4084012645280977</v>
      </c>
      <c r="AH167" s="3">
        <f t="shared" si="98"/>
        <v>4.5084712657127382</v>
      </c>
      <c r="AI167" s="3">
        <f t="shared" si="99"/>
        <v>4.4825989629405463</v>
      </c>
      <c r="AJ167" s="11">
        <f t="shared" si="100"/>
        <v>-6.5211274086216431</v>
      </c>
    </row>
    <row r="168" spans="1:36" ht="18" customHeight="1" x14ac:dyDescent="0.25">
      <c r="A168" s="18">
        <f t="shared" si="104"/>
        <v>38</v>
      </c>
      <c r="B168" s="2">
        <v>151</v>
      </c>
      <c r="C168" s="2">
        <v>1</v>
      </c>
      <c r="D168" s="2">
        <v>0</v>
      </c>
      <c r="E168" s="2">
        <v>1</v>
      </c>
      <c r="F168" s="3">
        <f t="shared" si="103"/>
        <v>4.1295556867436298</v>
      </c>
      <c r="G168" s="3">
        <f t="shared" si="103"/>
        <v>4.3543542694056505</v>
      </c>
      <c r="H168" s="3">
        <f t="shared" si="103"/>
        <v>-1.612155437238953</v>
      </c>
      <c r="I168" s="3">
        <f t="shared" si="103"/>
        <v>-3.774701706396955</v>
      </c>
      <c r="J168" s="3">
        <f t="shared" si="103"/>
        <v>-3.4616154663441088</v>
      </c>
      <c r="K168" s="3">
        <f t="shared" si="103"/>
        <v>5.4084012645280977</v>
      </c>
      <c r="L168" s="3">
        <f t="shared" si="102"/>
        <v>4.5084712657127382</v>
      </c>
      <c r="M168" s="3">
        <f t="shared" si="102"/>
        <v>4.4825989629405463</v>
      </c>
      <c r="N168" s="3">
        <f t="shared" si="102"/>
        <v>-6.5211274086216431</v>
      </c>
      <c r="O168" s="3">
        <f t="shared" si="80"/>
        <v>2.5174002495046768</v>
      </c>
      <c r="P168" s="3">
        <f t="shared" si="81"/>
        <v>0.92535267526515719</v>
      </c>
      <c r="Q168" s="3">
        <f t="shared" si="82"/>
        <v>1.6336995581311426</v>
      </c>
      <c r="R168" s="3">
        <f t="shared" si="83"/>
        <v>0.83667581105549271</v>
      </c>
      <c r="S168" s="3">
        <f t="shared" si="84"/>
        <v>1.4012806614165205</v>
      </c>
      <c r="T168" s="4">
        <f t="shared" si="85"/>
        <v>0.80238703154105573</v>
      </c>
      <c r="U168" s="1">
        <f t="shared" si="86"/>
        <v>1</v>
      </c>
      <c r="V168" s="3">
        <f t="shared" si="87"/>
        <v>0.19761296845894427</v>
      </c>
      <c r="W168" s="3">
        <f t="shared" si="88"/>
        <v>1.9525442651577851E-2</v>
      </c>
      <c r="X168" s="5" t="str">
        <f t="shared" si="101"/>
        <v>PASS</v>
      </c>
      <c r="Y168" s="3">
        <f t="shared" si="89"/>
        <v>3.1333923937449347E-2</v>
      </c>
      <c r="Z168" s="3">
        <f t="shared" si="90"/>
        <v>9.7581080706094815E-3</v>
      </c>
      <c r="AA168" s="3">
        <f t="shared" si="91"/>
        <v>1.9193421232257844E-2</v>
      </c>
      <c r="AB168" s="3">
        <f t="shared" si="92"/>
        <v>4.1539509569201538</v>
      </c>
      <c r="AC168" s="3">
        <f t="shared" si="93"/>
        <v>4.3543542694056505</v>
      </c>
      <c r="AD168" s="3">
        <f t="shared" si="94"/>
        <v>-1.5877601670624293</v>
      </c>
      <c r="AE168" s="3">
        <f t="shared" si="95"/>
        <v>-3.7267181533163103</v>
      </c>
      <c r="AF168" s="3">
        <f t="shared" si="96"/>
        <v>-3.4616154663441088</v>
      </c>
      <c r="AG168" s="3">
        <f t="shared" si="97"/>
        <v>5.4563848176087424</v>
      </c>
      <c r="AH168" s="3">
        <f t="shared" si="98"/>
        <v>4.5809585915679225</v>
      </c>
      <c r="AI168" s="3">
        <f t="shared" si="99"/>
        <v>4.5481398035003373</v>
      </c>
      <c r="AJ168" s="11">
        <f t="shared" si="100"/>
        <v>-6.4427925987780199</v>
      </c>
    </row>
    <row r="169" spans="1:36" ht="18" customHeight="1" x14ac:dyDescent="0.25">
      <c r="A169" s="18">
        <f t="shared" si="104"/>
        <v>38</v>
      </c>
      <c r="B169" s="2">
        <v>152</v>
      </c>
      <c r="C169" s="2">
        <v>1</v>
      </c>
      <c r="D169" s="2">
        <v>1</v>
      </c>
      <c r="E169" s="2">
        <v>0</v>
      </c>
      <c r="F169" s="3">
        <f t="shared" si="103"/>
        <v>4.1539509569201538</v>
      </c>
      <c r="G169" s="3">
        <f t="shared" si="103"/>
        <v>4.3543542694056505</v>
      </c>
      <c r="H169" s="3">
        <f t="shared" si="103"/>
        <v>-1.5877601670624293</v>
      </c>
      <c r="I169" s="3">
        <f t="shared" si="103"/>
        <v>-3.7267181533163103</v>
      </c>
      <c r="J169" s="3">
        <f t="shared" si="103"/>
        <v>-3.4616154663441088</v>
      </c>
      <c r="K169" s="3">
        <f t="shared" si="103"/>
        <v>5.4563848176087424</v>
      </c>
      <c r="L169" s="3">
        <f t="shared" si="102"/>
        <v>4.5809585915679225</v>
      </c>
      <c r="M169" s="3">
        <f t="shared" si="102"/>
        <v>4.5481398035003373</v>
      </c>
      <c r="N169" s="3">
        <f t="shared" si="102"/>
        <v>-6.4427925987780199</v>
      </c>
      <c r="O169" s="3">
        <f t="shared" si="80"/>
        <v>6.9205450592633753</v>
      </c>
      <c r="P169" s="3">
        <f t="shared" si="81"/>
        <v>0.99901368212203456</v>
      </c>
      <c r="Q169" s="3">
        <f t="shared" si="82"/>
        <v>-1.7319488020516767</v>
      </c>
      <c r="R169" s="3">
        <f t="shared" si="83"/>
        <v>0.15033847630569755</v>
      </c>
      <c r="S169" s="3">
        <f t="shared" si="84"/>
        <v>-1.1825918804836446</v>
      </c>
      <c r="T169" s="4">
        <f t="shared" si="85"/>
        <v>0.23458648929529652</v>
      </c>
      <c r="U169" s="1">
        <f t="shared" si="86"/>
        <v>0</v>
      </c>
      <c r="V169" s="3">
        <f t="shared" si="87"/>
        <v>-0.23458648929529652</v>
      </c>
      <c r="W169" s="3">
        <f t="shared" si="88"/>
        <v>2.7515410479946135E-2</v>
      </c>
      <c r="X169" s="5" t="str">
        <f t="shared" si="101"/>
        <v>PASS</v>
      </c>
      <c r="Y169" s="3">
        <f t="shared" si="89"/>
        <v>-4.2121333867873124E-2</v>
      </c>
      <c r="Z169" s="3">
        <f t="shared" si="90"/>
        <v>-1.9012832544037213E-4</v>
      </c>
      <c r="AA169" s="3">
        <f t="shared" si="91"/>
        <v>-2.4471016946961965E-2</v>
      </c>
      <c r="AB169" s="3">
        <f t="shared" si="92"/>
        <v>4.1534756361065526</v>
      </c>
      <c r="AC169" s="3">
        <f t="shared" si="93"/>
        <v>4.3538789485920493</v>
      </c>
      <c r="AD169" s="3">
        <f t="shared" si="94"/>
        <v>-1.5882354878760303</v>
      </c>
      <c r="AE169" s="3">
        <f t="shared" si="95"/>
        <v>-3.7878956956837153</v>
      </c>
      <c r="AF169" s="3">
        <f t="shared" si="96"/>
        <v>-3.5227930087115138</v>
      </c>
      <c r="AG169" s="3">
        <f t="shared" si="97"/>
        <v>5.3952072752413374</v>
      </c>
      <c r="AH169" s="3">
        <f t="shared" si="98"/>
        <v>4.4757591194598341</v>
      </c>
      <c r="AI169" s="3">
        <f t="shared" si="99"/>
        <v>4.532308660616188</v>
      </c>
      <c r="AJ169" s="11">
        <f t="shared" si="100"/>
        <v>-6.5480959334477031</v>
      </c>
    </row>
    <row r="170" spans="1:36" ht="18" customHeight="1" x14ac:dyDescent="0.25">
      <c r="A170" s="18">
        <f t="shared" si="104"/>
        <v>39</v>
      </c>
      <c r="B170" s="2">
        <v>153</v>
      </c>
      <c r="C170" s="2">
        <v>0</v>
      </c>
      <c r="D170" s="2">
        <v>0</v>
      </c>
      <c r="E170" s="2">
        <v>0</v>
      </c>
      <c r="F170" s="3">
        <f t="shared" si="103"/>
        <v>4.1534756361065526</v>
      </c>
      <c r="G170" s="3">
        <f t="shared" si="103"/>
        <v>4.3538789485920493</v>
      </c>
      <c r="H170" s="3">
        <f t="shared" si="103"/>
        <v>-1.5882354878760303</v>
      </c>
      <c r="I170" s="3">
        <f t="shared" si="103"/>
        <v>-3.7878956956837153</v>
      </c>
      <c r="J170" s="3">
        <f t="shared" si="103"/>
        <v>-3.5227930087115138</v>
      </c>
      <c r="K170" s="3">
        <f t="shared" si="103"/>
        <v>5.3952072752413374</v>
      </c>
      <c r="L170" s="3">
        <f t="shared" si="102"/>
        <v>4.4757591194598341</v>
      </c>
      <c r="M170" s="3">
        <f t="shared" si="102"/>
        <v>4.532308660616188</v>
      </c>
      <c r="N170" s="3">
        <f t="shared" si="102"/>
        <v>-6.5480959334477031</v>
      </c>
      <c r="O170" s="3">
        <f t="shared" si="80"/>
        <v>-1.5882354878760303</v>
      </c>
      <c r="P170" s="3">
        <f t="shared" si="81"/>
        <v>0.16963229627064699</v>
      </c>
      <c r="Q170" s="3">
        <f t="shared" si="82"/>
        <v>5.3952072752413374</v>
      </c>
      <c r="R170" s="3">
        <f t="shared" si="83"/>
        <v>0.99548222330563763</v>
      </c>
      <c r="S170" s="3">
        <f t="shared" si="84"/>
        <v>-1.2770299342818427</v>
      </c>
      <c r="T170" s="4">
        <f t="shared" si="85"/>
        <v>0.21805621857566271</v>
      </c>
      <c r="U170" s="1">
        <f t="shared" si="86"/>
        <v>0</v>
      </c>
      <c r="V170" s="3">
        <f t="shared" si="87"/>
        <v>-0.21805621857566271</v>
      </c>
      <c r="W170" s="3">
        <f t="shared" si="88"/>
        <v>2.3774257229758594E-2</v>
      </c>
      <c r="X170" s="5" t="str">
        <f t="shared" si="101"/>
        <v>PASS</v>
      </c>
      <c r="Y170" s="3">
        <f t="shared" si="89"/>
        <v>-3.7180265197584647E-2</v>
      </c>
      <c r="Z170" s="3">
        <f t="shared" si="90"/>
        <v>-2.3440030845960309E-2</v>
      </c>
      <c r="AA170" s="3">
        <f t="shared" si="91"/>
        <v>-7.5786217445406034E-4</v>
      </c>
      <c r="AB170" s="3">
        <f t="shared" si="92"/>
        <v>4.1534756361065526</v>
      </c>
      <c r="AC170" s="3">
        <f t="shared" si="93"/>
        <v>4.3538789485920493</v>
      </c>
      <c r="AD170" s="3">
        <f t="shared" si="94"/>
        <v>-1.646835564990931</v>
      </c>
      <c r="AE170" s="3">
        <f t="shared" si="95"/>
        <v>-3.7878956956837153</v>
      </c>
      <c r="AF170" s="3">
        <f t="shared" si="96"/>
        <v>-3.5227930087115138</v>
      </c>
      <c r="AG170" s="3">
        <f t="shared" si="97"/>
        <v>5.3933126198052026</v>
      </c>
      <c r="AH170" s="3">
        <f t="shared" si="98"/>
        <v>4.4599916850562895</v>
      </c>
      <c r="AI170" s="3">
        <f t="shared" si="99"/>
        <v>4.4397779279612264</v>
      </c>
      <c r="AJ170" s="11">
        <f t="shared" si="100"/>
        <v>-6.6410465964416652</v>
      </c>
    </row>
    <row r="171" spans="1:36" ht="18" customHeight="1" x14ac:dyDescent="0.25">
      <c r="A171" s="18">
        <f t="shared" si="104"/>
        <v>39</v>
      </c>
      <c r="B171" s="2">
        <v>154</v>
      </c>
      <c r="C171" s="2">
        <v>0</v>
      </c>
      <c r="D171" s="2">
        <v>1</v>
      </c>
      <c r="E171" s="2">
        <v>1</v>
      </c>
      <c r="F171" s="3">
        <f t="shared" si="103"/>
        <v>4.1534756361065526</v>
      </c>
      <c r="G171" s="3">
        <f t="shared" si="103"/>
        <v>4.3538789485920493</v>
      </c>
      <c r="H171" s="3">
        <f t="shared" si="103"/>
        <v>-1.646835564990931</v>
      </c>
      <c r="I171" s="3">
        <f t="shared" si="103"/>
        <v>-3.7878956956837153</v>
      </c>
      <c r="J171" s="3">
        <f t="shared" si="103"/>
        <v>-3.5227930087115138</v>
      </c>
      <c r="K171" s="3">
        <f t="shared" si="103"/>
        <v>5.3933126198052026</v>
      </c>
      <c r="L171" s="3">
        <f t="shared" si="102"/>
        <v>4.4599916850562895</v>
      </c>
      <c r="M171" s="3">
        <f t="shared" si="102"/>
        <v>4.4397779279612264</v>
      </c>
      <c r="N171" s="3">
        <f t="shared" si="102"/>
        <v>-6.6410465964416652</v>
      </c>
      <c r="O171" s="3">
        <f t="shared" si="80"/>
        <v>2.7070433836011185</v>
      </c>
      <c r="P171" s="3">
        <f t="shared" si="81"/>
        <v>0.93744098079509475</v>
      </c>
      <c r="Q171" s="3">
        <f t="shared" si="82"/>
        <v>1.8705196110936888</v>
      </c>
      <c r="R171" s="3">
        <f t="shared" si="83"/>
        <v>0.86651838935153869</v>
      </c>
      <c r="S171" s="3">
        <f t="shared" si="84"/>
        <v>1.3870816023509445</v>
      </c>
      <c r="T171" s="4">
        <f t="shared" si="85"/>
        <v>0.80012592884955014</v>
      </c>
      <c r="U171" s="1">
        <f t="shared" si="86"/>
        <v>1</v>
      </c>
      <c r="V171" s="3">
        <f t="shared" si="87"/>
        <v>0.19987407115044986</v>
      </c>
      <c r="W171" s="3">
        <f t="shared" si="88"/>
        <v>1.9974822159127548E-2</v>
      </c>
      <c r="X171" s="5" t="str">
        <f t="shared" si="101"/>
        <v>PASS</v>
      </c>
      <c r="Y171" s="3">
        <f t="shared" si="89"/>
        <v>3.196474626735301E-2</v>
      </c>
      <c r="Z171" s="3">
        <f t="shared" si="90"/>
        <v>8.3606333230781815E-3</v>
      </c>
      <c r="AA171" s="3">
        <f t="shared" si="91"/>
        <v>1.6414653947629608E-2</v>
      </c>
      <c r="AB171" s="3">
        <f t="shared" si="92"/>
        <v>4.1534756361065526</v>
      </c>
      <c r="AC171" s="3">
        <f t="shared" si="93"/>
        <v>4.374780531899745</v>
      </c>
      <c r="AD171" s="3">
        <f t="shared" si="94"/>
        <v>-1.6259339816832354</v>
      </c>
      <c r="AE171" s="3">
        <f t="shared" si="95"/>
        <v>-3.7878956956837153</v>
      </c>
      <c r="AF171" s="3">
        <f t="shared" si="96"/>
        <v>-3.48175637384244</v>
      </c>
      <c r="AG171" s="3">
        <f t="shared" si="97"/>
        <v>5.4343492546742764</v>
      </c>
      <c r="AH171" s="3">
        <f t="shared" si="98"/>
        <v>4.5349043427856239</v>
      </c>
      <c r="AI171" s="3">
        <f t="shared" si="99"/>
        <v>4.5090230290902698</v>
      </c>
      <c r="AJ171" s="11">
        <f t="shared" si="100"/>
        <v>-6.5611347307732828</v>
      </c>
    </row>
    <row r="172" spans="1:36" ht="18" customHeight="1" x14ac:dyDescent="0.25">
      <c r="A172" s="18">
        <f t="shared" si="104"/>
        <v>39</v>
      </c>
      <c r="B172" s="2">
        <v>155</v>
      </c>
      <c r="C172" s="2">
        <v>1</v>
      </c>
      <c r="D172" s="2">
        <v>0</v>
      </c>
      <c r="E172" s="2">
        <v>1</v>
      </c>
      <c r="F172" s="3">
        <f t="shared" si="103"/>
        <v>4.1534756361065526</v>
      </c>
      <c r="G172" s="3">
        <f t="shared" si="103"/>
        <v>4.374780531899745</v>
      </c>
      <c r="H172" s="3">
        <f t="shared" si="103"/>
        <v>-1.6259339816832354</v>
      </c>
      <c r="I172" s="3">
        <f t="shared" si="103"/>
        <v>-3.7878956956837153</v>
      </c>
      <c r="J172" s="3">
        <f t="shared" si="103"/>
        <v>-3.48175637384244</v>
      </c>
      <c r="K172" s="3">
        <f t="shared" si="103"/>
        <v>5.4343492546742764</v>
      </c>
      <c r="L172" s="3">
        <f t="shared" si="102"/>
        <v>4.5349043427856239</v>
      </c>
      <c r="M172" s="3">
        <f t="shared" si="102"/>
        <v>4.5090230290902698</v>
      </c>
      <c r="N172" s="3">
        <f t="shared" si="102"/>
        <v>-6.5611347307732828</v>
      </c>
      <c r="O172" s="3">
        <f t="shared" si="80"/>
        <v>2.5275416544233171</v>
      </c>
      <c r="P172" s="3">
        <f t="shared" si="81"/>
        <v>0.92605017905888554</v>
      </c>
      <c r="Q172" s="3">
        <f t="shared" si="82"/>
        <v>1.6464535589905611</v>
      </c>
      <c r="R172" s="3">
        <f t="shared" si="83"/>
        <v>0.83841116253885772</v>
      </c>
      <c r="S172" s="3">
        <f t="shared" si="84"/>
        <v>1.4188294876123173</v>
      </c>
      <c r="T172" s="4">
        <f t="shared" si="85"/>
        <v>0.8051548514083714</v>
      </c>
      <c r="U172" s="1">
        <f t="shared" si="86"/>
        <v>1</v>
      </c>
      <c r="V172" s="3">
        <f t="shared" si="87"/>
        <v>0.1948451485916286</v>
      </c>
      <c r="W172" s="3">
        <f t="shared" si="88"/>
        <v>1.8982315964846914E-2</v>
      </c>
      <c r="X172" s="5" t="str">
        <f t="shared" si="101"/>
        <v>PASS</v>
      </c>
      <c r="Y172" s="3">
        <f t="shared" si="89"/>
        <v>3.056740758012615E-2</v>
      </c>
      <c r="Z172" s="3">
        <f t="shared" si="90"/>
        <v>9.4928886190201959E-3</v>
      </c>
      <c r="AA172" s="3">
        <f t="shared" si="91"/>
        <v>1.8672801027328507E-2</v>
      </c>
      <c r="AB172" s="3">
        <f t="shared" si="92"/>
        <v>4.1772078576541034</v>
      </c>
      <c r="AC172" s="3">
        <f t="shared" si="93"/>
        <v>4.374780531899745</v>
      </c>
      <c r="AD172" s="3">
        <f t="shared" si="94"/>
        <v>-1.602201760135685</v>
      </c>
      <c r="AE172" s="3">
        <f t="shared" si="95"/>
        <v>-3.7412136931153941</v>
      </c>
      <c r="AF172" s="3">
        <f t="shared" si="96"/>
        <v>-3.48175637384244</v>
      </c>
      <c r="AG172" s="3">
        <f t="shared" si="97"/>
        <v>5.4810312572425977</v>
      </c>
      <c r="AH172" s="3">
        <f t="shared" si="98"/>
        <v>4.6056717259429787</v>
      </c>
      <c r="AI172" s="3">
        <f t="shared" si="99"/>
        <v>4.5730931684029015</v>
      </c>
      <c r="AJ172" s="11">
        <f t="shared" si="100"/>
        <v>-6.4847162118229678</v>
      </c>
    </row>
    <row r="173" spans="1:36" ht="18" customHeight="1" x14ac:dyDescent="0.25">
      <c r="A173" s="18">
        <f t="shared" si="104"/>
        <v>39</v>
      </c>
      <c r="B173" s="2">
        <v>156</v>
      </c>
      <c r="C173" s="2">
        <v>1</v>
      </c>
      <c r="D173" s="2">
        <v>1</v>
      </c>
      <c r="E173" s="2">
        <v>0</v>
      </c>
      <c r="F173" s="3">
        <f t="shared" si="103"/>
        <v>4.1772078576541034</v>
      </c>
      <c r="G173" s="3">
        <f t="shared" si="103"/>
        <v>4.374780531899745</v>
      </c>
      <c r="H173" s="3">
        <f t="shared" si="103"/>
        <v>-1.602201760135685</v>
      </c>
      <c r="I173" s="3">
        <f t="shared" si="103"/>
        <v>-3.7412136931153941</v>
      </c>
      <c r="J173" s="3">
        <f t="shared" si="103"/>
        <v>-3.48175637384244</v>
      </c>
      <c r="K173" s="3">
        <f t="shared" si="103"/>
        <v>5.4810312572425977</v>
      </c>
      <c r="L173" s="3">
        <f t="shared" si="102"/>
        <v>4.6056717259429787</v>
      </c>
      <c r="M173" s="3">
        <f t="shared" si="102"/>
        <v>4.5730931684029015</v>
      </c>
      <c r="N173" s="3">
        <f t="shared" si="102"/>
        <v>-6.4847162118229678</v>
      </c>
      <c r="O173" s="3">
        <f t="shared" si="80"/>
        <v>6.9497866294181634</v>
      </c>
      <c r="P173" s="3">
        <f t="shared" si="81"/>
        <v>0.99904207877286333</v>
      </c>
      <c r="Q173" s="3">
        <f t="shared" si="82"/>
        <v>-1.7419388097152364</v>
      </c>
      <c r="R173" s="3">
        <f t="shared" si="83"/>
        <v>0.14906683707239182</v>
      </c>
      <c r="S173" s="3">
        <f t="shared" si="84"/>
        <v>-1.2017598223403096</v>
      </c>
      <c r="T173" s="4">
        <f t="shared" si="85"/>
        <v>0.23116230184054565</v>
      </c>
      <c r="U173" s="1">
        <f t="shared" si="86"/>
        <v>0</v>
      </c>
      <c r="V173" s="3">
        <f t="shared" si="87"/>
        <v>-0.23116230184054565</v>
      </c>
      <c r="W173" s="3">
        <f t="shared" si="88"/>
        <v>2.6718004896109766E-2</v>
      </c>
      <c r="X173" s="5" t="str">
        <f t="shared" si="101"/>
        <v>PASS</v>
      </c>
      <c r="Y173" s="3">
        <f t="shared" si="89"/>
        <v>-4.1083618767476127E-2</v>
      </c>
      <c r="Z173" s="3">
        <f t="shared" si="90"/>
        <v>-1.810819857622868E-4</v>
      </c>
      <c r="AA173" s="3">
        <f t="shared" si="91"/>
        <v>-2.3831711133057359E-2</v>
      </c>
      <c r="AB173" s="3">
        <f t="shared" si="92"/>
        <v>4.1767551526896973</v>
      </c>
      <c r="AC173" s="3">
        <f t="shared" si="93"/>
        <v>4.3743278269353389</v>
      </c>
      <c r="AD173" s="3">
        <f t="shared" si="94"/>
        <v>-1.6026544651000907</v>
      </c>
      <c r="AE173" s="3">
        <f t="shared" si="95"/>
        <v>-3.8007929709480375</v>
      </c>
      <c r="AF173" s="3">
        <f t="shared" si="96"/>
        <v>-3.5413356516750834</v>
      </c>
      <c r="AG173" s="3">
        <f t="shared" si="97"/>
        <v>5.4214519794099543</v>
      </c>
      <c r="AH173" s="3">
        <f t="shared" si="98"/>
        <v>4.5030610662005506</v>
      </c>
      <c r="AI173" s="3">
        <f t="shared" si="99"/>
        <v>4.5577826556400121</v>
      </c>
      <c r="AJ173" s="11">
        <f t="shared" si="100"/>
        <v>-6.587425258741658</v>
      </c>
    </row>
    <row r="174" spans="1:36" ht="18" customHeight="1" x14ac:dyDescent="0.25">
      <c r="A174" s="18">
        <f t="shared" si="104"/>
        <v>40</v>
      </c>
      <c r="B174" s="2">
        <v>157</v>
      </c>
      <c r="C174" s="2">
        <v>0</v>
      </c>
      <c r="D174" s="2">
        <v>0</v>
      </c>
      <c r="E174" s="2">
        <v>0</v>
      </c>
      <c r="F174" s="3">
        <f t="shared" si="103"/>
        <v>4.1767551526896973</v>
      </c>
      <c r="G174" s="3">
        <f t="shared" si="103"/>
        <v>4.3743278269353389</v>
      </c>
      <c r="H174" s="3">
        <f t="shared" si="103"/>
        <v>-1.6026544651000907</v>
      </c>
      <c r="I174" s="3">
        <f t="shared" si="103"/>
        <v>-3.8007929709480375</v>
      </c>
      <c r="J174" s="3">
        <f t="shared" si="103"/>
        <v>-3.5413356516750834</v>
      </c>
      <c r="K174" s="3">
        <f t="shared" si="103"/>
        <v>5.4214519794099543</v>
      </c>
      <c r="L174" s="3">
        <f t="shared" si="102"/>
        <v>4.5030610662005506</v>
      </c>
      <c r="M174" s="3">
        <f t="shared" si="102"/>
        <v>4.5577826556400121</v>
      </c>
      <c r="N174" s="3">
        <f t="shared" si="102"/>
        <v>-6.587425258741658</v>
      </c>
      <c r="O174" s="3">
        <f t="shared" si="80"/>
        <v>-1.6026544651000907</v>
      </c>
      <c r="P174" s="3">
        <f t="shared" si="81"/>
        <v>0.16761094365988921</v>
      </c>
      <c r="Q174" s="3">
        <f t="shared" si="82"/>
        <v>5.4214519794099543</v>
      </c>
      <c r="R174" s="3">
        <f t="shared" si="83"/>
        <v>0.99559873359390216</v>
      </c>
      <c r="S174" s="3">
        <f t="shared" si="84"/>
        <v>-1.2949403041262286</v>
      </c>
      <c r="T174" s="4">
        <f t="shared" si="85"/>
        <v>0.21501778697678861</v>
      </c>
      <c r="U174" s="1">
        <f t="shared" si="86"/>
        <v>0</v>
      </c>
      <c r="V174" s="3">
        <f t="shared" si="87"/>
        <v>-0.21501778697678861</v>
      </c>
      <c r="W174" s="3">
        <f t="shared" si="88"/>
        <v>2.3116324358197823E-2</v>
      </c>
      <c r="X174" s="5" t="str">
        <f t="shared" si="101"/>
        <v>PASS</v>
      </c>
      <c r="Y174" s="3">
        <f t="shared" si="89"/>
        <v>-3.6291806903320983E-2</v>
      </c>
      <c r="Z174" s="3">
        <f t="shared" si="90"/>
        <v>-2.2800541477118502E-2</v>
      </c>
      <c r="AA174" s="3">
        <f t="shared" si="91"/>
        <v>-7.2481003133557703E-4</v>
      </c>
      <c r="AB174" s="3">
        <f t="shared" si="92"/>
        <v>4.1767551526896973</v>
      </c>
      <c r="AC174" s="3">
        <f t="shared" si="93"/>
        <v>4.3743278269353389</v>
      </c>
      <c r="AD174" s="3">
        <f t="shared" si="94"/>
        <v>-1.6596558187928869</v>
      </c>
      <c r="AE174" s="3">
        <f t="shared" si="95"/>
        <v>-3.8007929709480375</v>
      </c>
      <c r="AF174" s="3">
        <f t="shared" si="96"/>
        <v>-3.5413356516750834</v>
      </c>
      <c r="AG174" s="3">
        <f t="shared" si="97"/>
        <v>5.4196399543316156</v>
      </c>
      <c r="AH174" s="3">
        <f t="shared" si="98"/>
        <v>4.4878538061950799</v>
      </c>
      <c r="AI174" s="3">
        <f t="shared" si="99"/>
        <v>4.4674524631580601</v>
      </c>
      <c r="AJ174" s="11">
        <f t="shared" si="100"/>
        <v>-6.6781547759999604</v>
      </c>
    </row>
    <row r="175" spans="1:36" ht="18" customHeight="1" x14ac:dyDescent="0.25">
      <c r="A175" s="18">
        <f t="shared" si="104"/>
        <v>40</v>
      </c>
      <c r="B175" s="2">
        <v>158</v>
      </c>
      <c r="C175" s="2">
        <v>0</v>
      </c>
      <c r="D175" s="2">
        <v>1</v>
      </c>
      <c r="E175" s="2">
        <v>1</v>
      </c>
      <c r="F175" s="3">
        <f t="shared" si="103"/>
        <v>4.1767551526896973</v>
      </c>
      <c r="G175" s="3">
        <f t="shared" si="103"/>
        <v>4.3743278269353389</v>
      </c>
      <c r="H175" s="3">
        <f t="shared" si="103"/>
        <v>-1.6596558187928869</v>
      </c>
      <c r="I175" s="3">
        <f t="shared" si="103"/>
        <v>-3.8007929709480375</v>
      </c>
      <c r="J175" s="3">
        <f t="shared" si="103"/>
        <v>-3.5413356516750834</v>
      </c>
      <c r="K175" s="3">
        <f t="shared" si="103"/>
        <v>5.4196399543316156</v>
      </c>
      <c r="L175" s="3">
        <f t="shared" si="102"/>
        <v>4.4878538061950799</v>
      </c>
      <c r="M175" s="3">
        <f t="shared" si="102"/>
        <v>4.4674524631580601</v>
      </c>
      <c r="N175" s="3">
        <f t="shared" si="102"/>
        <v>-6.6781547759999604</v>
      </c>
      <c r="O175" s="3">
        <f t="shared" si="80"/>
        <v>2.7146720081424522</v>
      </c>
      <c r="P175" s="3">
        <f t="shared" si="81"/>
        <v>0.93788687430206352</v>
      </c>
      <c r="Q175" s="3">
        <f t="shared" si="82"/>
        <v>1.8783043026565323</v>
      </c>
      <c r="R175" s="3">
        <f t="shared" si="83"/>
        <v>0.86741623372733923</v>
      </c>
      <c r="S175" s="3">
        <f t="shared" si="84"/>
        <v>1.4060851925654507</v>
      </c>
      <c r="T175" s="4">
        <f t="shared" si="85"/>
        <v>0.80314774136483102</v>
      </c>
      <c r="U175" s="1">
        <f t="shared" si="86"/>
        <v>1</v>
      </c>
      <c r="V175" s="3">
        <f t="shared" si="87"/>
        <v>0.19685225863516898</v>
      </c>
      <c r="W175" s="3">
        <f t="shared" si="88"/>
        <v>1.9375405864883729E-2</v>
      </c>
      <c r="X175" s="5" t="str">
        <f t="shared" si="101"/>
        <v>PASS</v>
      </c>
      <c r="Y175" s="3">
        <f t="shared" si="89"/>
        <v>3.1122626916816533E-2</v>
      </c>
      <c r="Z175" s="3">
        <f t="shared" si="90"/>
        <v>8.1367091157520059E-3</v>
      </c>
      <c r="AA175" s="3">
        <f t="shared" si="91"/>
        <v>1.5990206934426376E-2</v>
      </c>
      <c r="AB175" s="3">
        <f t="shared" si="92"/>
        <v>4.1767551526896973</v>
      </c>
      <c r="AC175" s="3">
        <f t="shared" si="93"/>
        <v>4.3946695997247192</v>
      </c>
      <c r="AD175" s="3">
        <f t="shared" si="94"/>
        <v>-1.6393140460035069</v>
      </c>
      <c r="AE175" s="3">
        <f t="shared" si="95"/>
        <v>-3.8007929709480375</v>
      </c>
      <c r="AF175" s="3">
        <f t="shared" si="96"/>
        <v>-3.5013601343390173</v>
      </c>
      <c r="AG175" s="3">
        <f t="shared" si="97"/>
        <v>5.4596154716676812</v>
      </c>
      <c r="AH175" s="3">
        <f t="shared" si="98"/>
        <v>4.5608275643927856</v>
      </c>
      <c r="AI175" s="3">
        <f t="shared" si="99"/>
        <v>4.5349431427177755</v>
      </c>
      <c r="AJ175" s="11">
        <f t="shared" si="100"/>
        <v>-6.6003482087079188</v>
      </c>
    </row>
    <row r="176" spans="1:36" ht="18" customHeight="1" x14ac:dyDescent="0.25">
      <c r="A176" s="18">
        <f t="shared" si="104"/>
        <v>40</v>
      </c>
      <c r="B176" s="2">
        <v>159</v>
      </c>
      <c r="C176" s="2">
        <v>1</v>
      </c>
      <c r="D176" s="2">
        <v>0</v>
      </c>
      <c r="E176" s="2">
        <v>1</v>
      </c>
      <c r="F176" s="3">
        <f t="shared" si="103"/>
        <v>4.1767551526896973</v>
      </c>
      <c r="G176" s="3">
        <f t="shared" si="103"/>
        <v>4.3946695997247192</v>
      </c>
      <c r="H176" s="3">
        <f t="shared" si="103"/>
        <v>-1.6393140460035069</v>
      </c>
      <c r="I176" s="3">
        <f t="shared" si="103"/>
        <v>-3.8007929709480375</v>
      </c>
      <c r="J176" s="3">
        <f t="shared" si="103"/>
        <v>-3.5013601343390173</v>
      </c>
      <c r="K176" s="3">
        <f t="shared" si="103"/>
        <v>5.4596154716676812</v>
      </c>
      <c r="L176" s="3">
        <f t="shared" si="102"/>
        <v>4.5608275643927856</v>
      </c>
      <c r="M176" s="3">
        <f t="shared" si="102"/>
        <v>4.5349431427177755</v>
      </c>
      <c r="N176" s="3">
        <f t="shared" si="102"/>
        <v>-6.6003482087079188</v>
      </c>
      <c r="O176" s="3">
        <f t="shared" si="80"/>
        <v>2.5374411066861904</v>
      </c>
      <c r="P176" s="3">
        <f t="shared" si="81"/>
        <v>0.92672525312567322</v>
      </c>
      <c r="Q176" s="3">
        <f t="shared" si="82"/>
        <v>1.6588225007196438</v>
      </c>
      <c r="R176" s="3">
        <f t="shared" si="83"/>
        <v>0.84007987445589039</v>
      </c>
      <c r="S176" s="3">
        <f t="shared" si="84"/>
        <v>1.436000336365483</v>
      </c>
      <c r="T176" s="4">
        <f t="shared" si="85"/>
        <v>0.80783451637149539</v>
      </c>
      <c r="U176" s="1">
        <f t="shared" si="86"/>
        <v>1</v>
      </c>
      <c r="V176" s="3">
        <f t="shared" si="87"/>
        <v>0.19216548362850461</v>
      </c>
      <c r="W176" s="3">
        <f t="shared" si="88"/>
        <v>1.8463786549088534E-2</v>
      </c>
      <c r="X176" s="5" t="str">
        <f t="shared" si="101"/>
        <v>PASS</v>
      </c>
      <c r="Y176" s="3">
        <f t="shared" si="89"/>
        <v>2.983136815453892E-2</v>
      </c>
      <c r="Z176" s="3">
        <f t="shared" si="90"/>
        <v>9.2389400510942254E-3</v>
      </c>
      <c r="AA176" s="3">
        <f t="shared" si="91"/>
        <v>1.8174761516199921E-2</v>
      </c>
      <c r="AB176" s="3">
        <f t="shared" si="92"/>
        <v>4.1998525028174329</v>
      </c>
      <c r="AC176" s="3">
        <f t="shared" si="93"/>
        <v>4.3946695997247192</v>
      </c>
      <c r="AD176" s="3">
        <f t="shared" si="94"/>
        <v>-1.6162166958757713</v>
      </c>
      <c r="AE176" s="3">
        <f t="shared" si="95"/>
        <v>-3.7553560671575377</v>
      </c>
      <c r="AF176" s="3">
        <f t="shared" si="96"/>
        <v>-3.5013601343390173</v>
      </c>
      <c r="AG176" s="3">
        <f t="shared" si="97"/>
        <v>5.505052375458181</v>
      </c>
      <c r="AH176" s="3">
        <f t="shared" si="98"/>
        <v>4.6299412699030364</v>
      </c>
      <c r="AI176" s="3">
        <f t="shared" si="99"/>
        <v>4.5975949727530567</v>
      </c>
      <c r="AJ176" s="11">
        <f t="shared" si="100"/>
        <v>-6.525769788321572</v>
      </c>
    </row>
    <row r="177" spans="1:36" ht="18" customHeight="1" x14ac:dyDescent="0.25">
      <c r="A177" s="18">
        <f t="shared" si="104"/>
        <v>40</v>
      </c>
      <c r="B177" s="2">
        <v>160</v>
      </c>
      <c r="C177" s="2">
        <v>1</v>
      </c>
      <c r="D177" s="2">
        <v>1</v>
      </c>
      <c r="E177" s="2">
        <v>0</v>
      </c>
      <c r="F177" s="3">
        <f t="shared" si="103"/>
        <v>4.1998525028174329</v>
      </c>
      <c r="G177" s="3">
        <f t="shared" si="103"/>
        <v>4.3946695997247192</v>
      </c>
      <c r="H177" s="3">
        <f t="shared" si="103"/>
        <v>-1.6162166958757713</v>
      </c>
      <c r="I177" s="3">
        <f t="shared" si="103"/>
        <v>-3.7553560671575377</v>
      </c>
      <c r="J177" s="3">
        <f t="shared" si="103"/>
        <v>-3.5013601343390173</v>
      </c>
      <c r="K177" s="3">
        <f t="shared" si="103"/>
        <v>5.505052375458181</v>
      </c>
      <c r="L177" s="3">
        <f t="shared" si="102"/>
        <v>4.6299412699030364</v>
      </c>
      <c r="M177" s="3">
        <f t="shared" si="102"/>
        <v>4.5975949727530567</v>
      </c>
      <c r="N177" s="3">
        <f t="shared" si="102"/>
        <v>-6.525769788321572</v>
      </c>
      <c r="O177" s="3">
        <f t="shared" si="80"/>
        <v>6.9783054066663812</v>
      </c>
      <c r="P177" s="3">
        <f t="shared" si="81"/>
        <v>0.99906898656843401</v>
      </c>
      <c r="Q177" s="3">
        <f t="shared" si="82"/>
        <v>-1.7516638260383743</v>
      </c>
      <c r="R177" s="3">
        <f t="shared" si="83"/>
        <v>0.14783746380890175</v>
      </c>
      <c r="S177" s="3">
        <f t="shared" si="84"/>
        <v>-1.2204422755358086</v>
      </c>
      <c r="T177" s="4">
        <f t="shared" si="85"/>
        <v>0.22785862765961995</v>
      </c>
      <c r="U177" s="1">
        <f t="shared" si="86"/>
        <v>0</v>
      </c>
      <c r="V177" s="3">
        <f t="shared" si="87"/>
        <v>-0.22785862765961995</v>
      </c>
      <c r="W177" s="3">
        <f t="shared" si="88"/>
        <v>2.595977709946266E-2</v>
      </c>
      <c r="X177" s="5" t="str">
        <f t="shared" si="101"/>
        <v>PASS</v>
      </c>
      <c r="Y177" s="3">
        <f t="shared" si="89"/>
        <v>-4.0089235830458939E-2</v>
      </c>
      <c r="Z177" s="3">
        <f t="shared" si="90"/>
        <v>-1.7264526992889588E-4</v>
      </c>
      <c r="AA177" s="3">
        <f t="shared" si="91"/>
        <v>-2.3220171764433944E-2</v>
      </c>
      <c r="AB177" s="3">
        <f t="shared" si="92"/>
        <v>4.1994208896426111</v>
      </c>
      <c r="AC177" s="3">
        <f t="shared" si="93"/>
        <v>4.3942379865498973</v>
      </c>
      <c r="AD177" s="3">
        <f t="shared" si="94"/>
        <v>-1.6166483090505936</v>
      </c>
      <c r="AE177" s="3">
        <f t="shared" si="95"/>
        <v>-3.8134064965686227</v>
      </c>
      <c r="AF177" s="3">
        <f t="shared" si="96"/>
        <v>-3.5594105637501023</v>
      </c>
      <c r="AG177" s="3">
        <f t="shared" si="97"/>
        <v>5.447001946047096</v>
      </c>
      <c r="AH177" s="3">
        <f t="shared" si="98"/>
        <v>4.5298114893694379</v>
      </c>
      <c r="AI177" s="3">
        <f t="shared" si="99"/>
        <v>4.5827782453750263</v>
      </c>
      <c r="AJ177" s="11">
        <f t="shared" si="100"/>
        <v>-6.6259928778977191</v>
      </c>
    </row>
    <row r="178" spans="1:36" ht="18" customHeight="1" x14ac:dyDescent="0.25">
      <c r="A178" s="18">
        <f t="shared" si="104"/>
        <v>41</v>
      </c>
      <c r="B178" s="2">
        <v>161</v>
      </c>
      <c r="C178" s="2">
        <v>0</v>
      </c>
      <c r="D178" s="2">
        <v>0</v>
      </c>
      <c r="E178" s="2">
        <v>0</v>
      </c>
      <c r="F178" s="3">
        <f t="shared" si="103"/>
        <v>4.1994208896426111</v>
      </c>
      <c r="G178" s="3">
        <f t="shared" si="103"/>
        <v>4.3942379865498973</v>
      </c>
      <c r="H178" s="3">
        <f t="shared" si="103"/>
        <v>-1.6166483090505936</v>
      </c>
      <c r="I178" s="3">
        <f t="shared" si="103"/>
        <v>-3.8134064965686227</v>
      </c>
      <c r="J178" s="3">
        <f t="shared" si="103"/>
        <v>-3.5594105637501023</v>
      </c>
      <c r="K178" s="3">
        <f t="shared" si="103"/>
        <v>5.447001946047096</v>
      </c>
      <c r="L178" s="3">
        <f t="shared" si="102"/>
        <v>4.5298114893694379</v>
      </c>
      <c r="M178" s="3">
        <f t="shared" si="102"/>
        <v>4.5827782453750263</v>
      </c>
      <c r="N178" s="3">
        <f t="shared" si="102"/>
        <v>-6.6259928778977191</v>
      </c>
      <c r="O178" s="3">
        <f t="shared" si="80"/>
        <v>-1.6166483090505936</v>
      </c>
      <c r="P178" s="3">
        <f t="shared" si="81"/>
        <v>0.16566762817505576</v>
      </c>
      <c r="Q178" s="3">
        <f t="shared" si="82"/>
        <v>5.447001946047096</v>
      </c>
      <c r="R178" s="3">
        <f t="shared" si="83"/>
        <v>0.99570928499708566</v>
      </c>
      <c r="S178" s="3">
        <f t="shared" si="84"/>
        <v>-1.3124349023712005</v>
      </c>
      <c r="T178" s="4">
        <f t="shared" si="85"/>
        <v>0.21207968209006264</v>
      </c>
      <c r="U178" s="1">
        <f t="shared" ref="U178:U209" si="105">IF(T178&gt;=0.5, 1, 0)</f>
        <v>0</v>
      </c>
      <c r="V178" s="3">
        <f t="shared" si="87"/>
        <v>-0.21207968209006264</v>
      </c>
      <c r="W178" s="3">
        <f t="shared" ref="W178:W209" si="106">0.5*(V178^2)</f>
        <v>2.2488895777711019E-2</v>
      </c>
      <c r="X178" s="5" t="str">
        <f t="shared" si="101"/>
        <v>PASS</v>
      </c>
      <c r="Y178" s="3">
        <f t="shared" ref="Y178:Y209" si="107">V178*T178*(1-T178)</f>
        <v>-3.5438915821235026E-2</v>
      </c>
      <c r="Z178" s="3">
        <f t="shared" ref="Z178:Z209" si="108">Y178*L178*P178*(1-P178)</f>
        <v>-2.2188978281266692E-2</v>
      </c>
      <c r="AA178" s="3">
        <f t="shared" ref="AA178:AA209" si="109">Y178*M178*R178*(1-R178)</f>
        <v>-6.9385943113158021E-4</v>
      </c>
      <c r="AB178" s="3">
        <f t="shared" ref="AB178:AB209" si="110">F178+$D$5*Z178*C178</f>
        <v>4.1994208896426111</v>
      </c>
      <c r="AC178" s="3">
        <f t="shared" ref="AC178:AC209" si="111">G178+$D$5*Z178*D178</f>
        <v>4.3942379865498973</v>
      </c>
      <c r="AD178" s="3">
        <f t="shared" ref="AD178:AD209" si="112">H178+$D$5*Z178</f>
        <v>-1.6721207547537604</v>
      </c>
      <c r="AE178" s="3">
        <f t="shared" ref="AE178:AE209" si="113">I178+$D$5*AA178*C178</f>
        <v>-3.8134064965686227</v>
      </c>
      <c r="AF178" s="3">
        <f t="shared" ref="AF178:AF209" si="114">J178+$D$5*AA178*D178</f>
        <v>-3.5594105637501023</v>
      </c>
      <c r="AG178" s="3">
        <f t="shared" ref="AG178:AG209" si="115">K178+$D$5*AA178</f>
        <v>5.4452672974692673</v>
      </c>
      <c r="AH178" s="3">
        <f t="shared" ref="AH178:AH209" si="116">L178+$D$5*Y178*P178</f>
        <v>4.5151337865464392</v>
      </c>
      <c r="AI178" s="3">
        <f t="shared" ref="AI178:AI209" si="117">M178+$D$5*Y178*R178</f>
        <v>4.4945611015414419</v>
      </c>
      <c r="AJ178" s="11">
        <f t="shared" ref="AJ178:AJ209" si="118">N178+$D$5*Y178</f>
        <v>-6.7145901674508064</v>
      </c>
    </row>
    <row r="179" spans="1:36" ht="18" customHeight="1" x14ac:dyDescent="0.25">
      <c r="A179" s="18">
        <f t="shared" si="104"/>
        <v>41</v>
      </c>
      <c r="B179" s="2">
        <v>162</v>
      </c>
      <c r="C179" s="2">
        <v>0</v>
      </c>
      <c r="D179" s="2">
        <v>1</v>
      </c>
      <c r="E179" s="2">
        <v>1</v>
      </c>
      <c r="F179" s="3">
        <f t="shared" si="103"/>
        <v>4.1994208896426111</v>
      </c>
      <c r="G179" s="3">
        <f t="shared" si="103"/>
        <v>4.3942379865498973</v>
      </c>
      <c r="H179" s="3">
        <f t="shared" si="103"/>
        <v>-1.6721207547537604</v>
      </c>
      <c r="I179" s="3">
        <f t="shared" si="103"/>
        <v>-3.8134064965686227</v>
      </c>
      <c r="J179" s="3">
        <f t="shared" si="103"/>
        <v>-3.5594105637501023</v>
      </c>
      <c r="K179" s="3">
        <f t="shared" si="103"/>
        <v>5.4452672974692673</v>
      </c>
      <c r="L179" s="3">
        <f t="shared" si="102"/>
        <v>4.5151337865464392</v>
      </c>
      <c r="M179" s="3">
        <f t="shared" si="102"/>
        <v>4.4945611015414419</v>
      </c>
      <c r="N179" s="3">
        <f t="shared" si="102"/>
        <v>-6.7145901674508064</v>
      </c>
      <c r="O179" s="3">
        <f t="shared" si="80"/>
        <v>2.7221172317961368</v>
      </c>
      <c r="P179" s="3">
        <f t="shared" si="81"/>
        <v>0.93831918503958378</v>
      </c>
      <c r="Q179" s="3">
        <f t="shared" si="82"/>
        <v>1.885856733719165</v>
      </c>
      <c r="R179" s="3">
        <f t="shared" si="83"/>
        <v>0.86828239579407007</v>
      </c>
      <c r="S179" s="3">
        <f t="shared" si="84"/>
        <v>1.4245947687753766</v>
      </c>
      <c r="T179" s="4">
        <f t="shared" si="85"/>
        <v>0.80605772077385229</v>
      </c>
      <c r="U179" s="1">
        <f t="shared" si="105"/>
        <v>1</v>
      </c>
      <c r="V179" s="3">
        <f t="shared" si="87"/>
        <v>0.19394227922614771</v>
      </c>
      <c r="W179" s="3">
        <f t="shared" si="106"/>
        <v>1.8806803835716521E-2</v>
      </c>
      <c r="X179" s="5" t="str">
        <f t="shared" si="101"/>
        <v>PASS</v>
      </c>
      <c r="Y179" s="3">
        <f t="shared" si="107"/>
        <v>3.0318738869717206E-2</v>
      </c>
      <c r="Z179" s="3">
        <f t="shared" si="108"/>
        <v>7.922868633973559E-3</v>
      </c>
      <c r="AA179" s="3">
        <f t="shared" si="109"/>
        <v>1.5584872012218021E-2</v>
      </c>
      <c r="AB179" s="3">
        <f t="shared" si="110"/>
        <v>4.1994208896426111</v>
      </c>
      <c r="AC179" s="3">
        <f t="shared" si="111"/>
        <v>4.4140451581348312</v>
      </c>
      <c r="AD179" s="3">
        <f t="shared" si="112"/>
        <v>-1.6523135831688265</v>
      </c>
      <c r="AE179" s="3">
        <f t="shared" si="113"/>
        <v>-3.8134064965686227</v>
      </c>
      <c r="AF179" s="3">
        <f t="shared" si="114"/>
        <v>-3.5204483837195575</v>
      </c>
      <c r="AG179" s="3">
        <f t="shared" si="115"/>
        <v>5.4842294774998122</v>
      </c>
      <c r="AH179" s="3">
        <f t="shared" si="116"/>
        <v>4.5862554224155918</v>
      </c>
      <c r="AI179" s="3">
        <f t="shared" si="117"/>
        <v>4.5603741695995739</v>
      </c>
      <c r="AJ179" s="11">
        <f t="shared" si="118"/>
        <v>-6.6387933202765135</v>
      </c>
    </row>
    <row r="180" spans="1:36" ht="18" customHeight="1" x14ac:dyDescent="0.25">
      <c r="A180" s="18">
        <f t="shared" si="104"/>
        <v>41</v>
      </c>
      <c r="B180" s="2">
        <v>163</v>
      </c>
      <c r="C180" s="2">
        <v>1</v>
      </c>
      <c r="D180" s="2">
        <v>0</v>
      </c>
      <c r="E180" s="2">
        <v>1</v>
      </c>
      <c r="F180" s="3">
        <f t="shared" si="103"/>
        <v>4.1994208896426111</v>
      </c>
      <c r="G180" s="3">
        <f t="shared" si="103"/>
        <v>4.4140451581348312</v>
      </c>
      <c r="H180" s="3">
        <f t="shared" si="103"/>
        <v>-1.6523135831688265</v>
      </c>
      <c r="I180" s="3">
        <f t="shared" si="103"/>
        <v>-3.8134064965686227</v>
      </c>
      <c r="J180" s="3">
        <f t="shared" si="103"/>
        <v>-3.5204483837195575</v>
      </c>
      <c r="K180" s="3">
        <f t="shared" si="103"/>
        <v>5.4842294774998122</v>
      </c>
      <c r="L180" s="3">
        <f t="shared" si="102"/>
        <v>4.5862554224155918</v>
      </c>
      <c r="M180" s="3">
        <f t="shared" si="102"/>
        <v>4.5603741695995739</v>
      </c>
      <c r="N180" s="3">
        <f t="shared" si="102"/>
        <v>-6.6387933202765135</v>
      </c>
      <c r="O180" s="3">
        <f t="shared" si="80"/>
        <v>2.5471073064737846</v>
      </c>
      <c r="P180" s="3">
        <f t="shared" si="81"/>
        <v>0.92737894039274515</v>
      </c>
      <c r="Q180" s="3">
        <f t="shared" si="82"/>
        <v>1.6708229809311894</v>
      </c>
      <c r="R180" s="3">
        <f t="shared" si="83"/>
        <v>0.84168551503416167</v>
      </c>
      <c r="S180" s="3">
        <f t="shared" si="84"/>
        <v>1.4528042554216443</v>
      </c>
      <c r="T180" s="4">
        <f t="shared" si="85"/>
        <v>0.81042963648352018</v>
      </c>
      <c r="U180" s="1">
        <f t="shared" si="105"/>
        <v>1</v>
      </c>
      <c r="V180" s="3">
        <f t="shared" si="87"/>
        <v>0.18957036351647982</v>
      </c>
      <c r="W180" s="3">
        <f t="shared" si="106"/>
        <v>1.7968461361885152E-2</v>
      </c>
      <c r="X180" s="5" t="str">
        <f t="shared" si="101"/>
        <v>PASS</v>
      </c>
      <c r="Y180" s="3">
        <f t="shared" si="107"/>
        <v>2.9124347219361524E-2</v>
      </c>
      <c r="Z180" s="3">
        <f t="shared" si="108"/>
        <v>8.9956851993721661E-3</v>
      </c>
      <c r="AA180" s="3">
        <f t="shared" si="109"/>
        <v>1.7698121930841852E-2</v>
      </c>
      <c r="AB180" s="3">
        <f t="shared" si="110"/>
        <v>4.2219101026410417</v>
      </c>
      <c r="AC180" s="3">
        <f t="shared" si="111"/>
        <v>4.4140451581348312</v>
      </c>
      <c r="AD180" s="3">
        <f t="shared" si="112"/>
        <v>-1.6298243701703961</v>
      </c>
      <c r="AE180" s="3">
        <f t="shared" si="113"/>
        <v>-3.7691611917415182</v>
      </c>
      <c r="AF180" s="3">
        <f t="shared" si="114"/>
        <v>-3.5204483837195575</v>
      </c>
      <c r="AG180" s="3">
        <f t="shared" si="115"/>
        <v>5.5284747823269171</v>
      </c>
      <c r="AH180" s="3">
        <f t="shared" si="116"/>
        <v>4.6537786880753966</v>
      </c>
      <c r="AI180" s="3">
        <f t="shared" si="117"/>
        <v>4.6216580225729791</v>
      </c>
      <c r="AJ180" s="11">
        <f t="shared" si="118"/>
        <v>-6.5659824522281101</v>
      </c>
    </row>
    <row r="181" spans="1:36" ht="18" customHeight="1" x14ac:dyDescent="0.25">
      <c r="A181" s="18">
        <f t="shared" si="104"/>
        <v>41</v>
      </c>
      <c r="B181" s="2">
        <v>164</v>
      </c>
      <c r="C181" s="2">
        <v>1</v>
      </c>
      <c r="D181" s="2">
        <v>1</v>
      </c>
      <c r="E181" s="2">
        <v>0</v>
      </c>
      <c r="F181" s="3">
        <f t="shared" si="103"/>
        <v>4.2219101026410417</v>
      </c>
      <c r="G181" s="3">
        <f t="shared" si="103"/>
        <v>4.4140451581348312</v>
      </c>
      <c r="H181" s="3">
        <f t="shared" si="103"/>
        <v>-1.6298243701703961</v>
      </c>
      <c r="I181" s="3">
        <f t="shared" si="103"/>
        <v>-3.7691611917415182</v>
      </c>
      <c r="J181" s="3">
        <f t="shared" si="103"/>
        <v>-3.5204483837195575</v>
      </c>
      <c r="K181" s="3">
        <f t="shared" si="103"/>
        <v>5.5284747823269171</v>
      </c>
      <c r="L181" s="3">
        <f t="shared" si="102"/>
        <v>4.6537786880753966</v>
      </c>
      <c r="M181" s="3">
        <f t="shared" si="102"/>
        <v>4.6216580225729791</v>
      </c>
      <c r="N181" s="3">
        <f t="shared" si="102"/>
        <v>-6.5659824522281101</v>
      </c>
      <c r="O181" s="3">
        <f t="shared" si="80"/>
        <v>7.0061308906054771</v>
      </c>
      <c r="P181" s="3">
        <f t="shared" si="81"/>
        <v>0.99909451223135259</v>
      </c>
      <c r="Q181" s="3">
        <f t="shared" si="82"/>
        <v>-1.7611347931341585</v>
      </c>
      <c r="R181" s="3">
        <f t="shared" si="83"/>
        <v>0.14664827193644586</v>
      </c>
      <c r="S181" s="3">
        <f t="shared" si="84"/>
        <v>-1.2386595413412183</v>
      </c>
      <c r="T181" s="4">
        <f t="shared" si="85"/>
        <v>0.2246693981457735</v>
      </c>
      <c r="U181" s="1">
        <f t="shared" si="105"/>
        <v>0</v>
      </c>
      <c r="V181" s="3">
        <f t="shared" si="87"/>
        <v>-0.2246693981457735</v>
      </c>
      <c r="W181" s="3">
        <f t="shared" si="106"/>
        <v>2.5238169231592045E-2</v>
      </c>
      <c r="X181" s="5" t="str">
        <f t="shared" si="101"/>
        <v>PASS</v>
      </c>
      <c r="Y181" s="3">
        <f t="shared" si="107"/>
        <v>-3.9135849880058166E-2</v>
      </c>
      <c r="Z181" s="3">
        <f t="shared" si="108"/>
        <v>-1.6476678120072035E-4</v>
      </c>
      <c r="AA181" s="3">
        <f t="shared" si="109"/>
        <v>-2.2634848832884153E-2</v>
      </c>
      <c r="AB181" s="3">
        <f t="shared" si="110"/>
        <v>4.2214981856880396</v>
      </c>
      <c r="AC181" s="3">
        <f t="shared" si="111"/>
        <v>4.4136332411818291</v>
      </c>
      <c r="AD181" s="3">
        <f t="shared" si="112"/>
        <v>-1.630236287123398</v>
      </c>
      <c r="AE181" s="3">
        <f t="shared" si="113"/>
        <v>-3.8257483138237287</v>
      </c>
      <c r="AF181" s="3">
        <f t="shared" si="114"/>
        <v>-3.577035505801768</v>
      </c>
      <c r="AG181" s="3">
        <f t="shared" si="115"/>
        <v>5.4718876602447066</v>
      </c>
      <c r="AH181" s="3">
        <f t="shared" si="116"/>
        <v>4.5560276559587063</v>
      </c>
      <c r="AI181" s="3">
        <f t="shared" si="117"/>
        <v>4.6073100106837925</v>
      </c>
      <c r="AJ181" s="11">
        <f t="shared" si="118"/>
        <v>-6.6638220769282555</v>
      </c>
    </row>
    <row r="182" spans="1:36" ht="18" customHeight="1" x14ac:dyDescent="0.25">
      <c r="A182" s="18">
        <f t="shared" si="104"/>
        <v>42</v>
      </c>
      <c r="B182" s="2">
        <v>165</v>
      </c>
      <c r="C182" s="2">
        <v>0</v>
      </c>
      <c r="D182" s="2">
        <v>0</v>
      </c>
      <c r="E182" s="2">
        <v>0</v>
      </c>
      <c r="F182" s="3">
        <f t="shared" si="103"/>
        <v>4.2214981856880396</v>
      </c>
      <c r="G182" s="3">
        <f t="shared" si="103"/>
        <v>4.4136332411818291</v>
      </c>
      <c r="H182" s="3">
        <f t="shared" si="103"/>
        <v>-1.630236287123398</v>
      </c>
      <c r="I182" s="3">
        <f t="shared" si="103"/>
        <v>-3.8257483138237287</v>
      </c>
      <c r="J182" s="3">
        <f t="shared" si="103"/>
        <v>-3.577035505801768</v>
      </c>
      <c r="K182" s="3">
        <f t="shared" si="103"/>
        <v>5.4718876602447066</v>
      </c>
      <c r="L182" s="3">
        <f t="shared" si="102"/>
        <v>4.5560276559587063</v>
      </c>
      <c r="M182" s="3">
        <f t="shared" si="102"/>
        <v>4.6073100106837925</v>
      </c>
      <c r="N182" s="3">
        <f t="shared" si="102"/>
        <v>-6.6638220769282555</v>
      </c>
      <c r="O182" s="3">
        <f t="shared" si="80"/>
        <v>-1.630236287123398</v>
      </c>
      <c r="P182" s="3">
        <f t="shared" si="81"/>
        <v>0.16379799482757257</v>
      </c>
      <c r="Q182" s="3">
        <f t="shared" si="82"/>
        <v>5.4718876602447066</v>
      </c>
      <c r="R182" s="3">
        <f t="shared" si="83"/>
        <v>0.99581430341715171</v>
      </c>
      <c r="S182" s="3">
        <f t="shared" si="84"/>
        <v>-1.3295286735873031</v>
      </c>
      <c r="T182" s="4">
        <f t="shared" si="85"/>
        <v>0.20923733881534545</v>
      </c>
      <c r="U182" s="1">
        <f t="shared" si="105"/>
        <v>0</v>
      </c>
      <c r="V182" s="3">
        <f t="shared" si="87"/>
        <v>-0.20923733881534545</v>
      </c>
      <c r="W182" s="3">
        <f t="shared" si="106"/>
        <v>2.1890131977263836E-2</v>
      </c>
      <c r="X182" s="5" t="str">
        <f t="shared" si="101"/>
        <v>PASS</v>
      </c>
      <c r="Y182" s="3">
        <f t="shared" si="107"/>
        <v>-3.4619798032048912E-2</v>
      </c>
      <c r="Z182" s="3">
        <f t="shared" si="108"/>
        <v>-2.1603825820837905E-2</v>
      </c>
      <c r="AA182" s="3">
        <f t="shared" si="109"/>
        <v>-6.6484142080855152E-4</v>
      </c>
      <c r="AB182" s="3">
        <f t="shared" si="110"/>
        <v>4.2214981856880396</v>
      </c>
      <c r="AC182" s="3">
        <f t="shared" si="111"/>
        <v>4.4136332411818291</v>
      </c>
      <c r="AD182" s="3">
        <f t="shared" si="112"/>
        <v>-1.6842458516754928</v>
      </c>
      <c r="AE182" s="3">
        <f t="shared" si="113"/>
        <v>-3.8257483138237287</v>
      </c>
      <c r="AF182" s="3">
        <f t="shared" si="114"/>
        <v>-3.577035505801768</v>
      </c>
      <c r="AG182" s="3">
        <f t="shared" si="115"/>
        <v>5.470225556692685</v>
      </c>
      <c r="AH182" s="3">
        <f t="shared" si="116"/>
        <v>4.5418510222112438</v>
      </c>
      <c r="AI182" s="3">
        <f t="shared" si="117"/>
        <v>4.5211227855294744</v>
      </c>
      <c r="AJ182" s="11">
        <f t="shared" si="118"/>
        <v>-6.7503715720083779</v>
      </c>
    </row>
    <row r="183" spans="1:36" ht="18" customHeight="1" x14ac:dyDescent="0.25">
      <c r="A183" s="18">
        <f t="shared" si="104"/>
        <v>42</v>
      </c>
      <c r="B183" s="2">
        <v>166</v>
      </c>
      <c r="C183" s="2">
        <v>0</v>
      </c>
      <c r="D183" s="2">
        <v>1</v>
      </c>
      <c r="E183" s="2">
        <v>1</v>
      </c>
      <c r="F183" s="3">
        <f t="shared" si="103"/>
        <v>4.2214981856880396</v>
      </c>
      <c r="G183" s="3">
        <f t="shared" si="103"/>
        <v>4.4136332411818291</v>
      </c>
      <c r="H183" s="3">
        <f t="shared" si="103"/>
        <v>-1.6842458516754928</v>
      </c>
      <c r="I183" s="3">
        <f t="shared" si="103"/>
        <v>-3.8257483138237287</v>
      </c>
      <c r="J183" s="3">
        <f t="shared" si="103"/>
        <v>-3.577035505801768</v>
      </c>
      <c r="K183" s="3">
        <f t="shared" si="103"/>
        <v>5.470225556692685</v>
      </c>
      <c r="L183" s="3">
        <f t="shared" si="102"/>
        <v>4.5418510222112438</v>
      </c>
      <c r="M183" s="3">
        <f t="shared" si="102"/>
        <v>4.5211227855294744</v>
      </c>
      <c r="N183" s="3">
        <f t="shared" si="102"/>
        <v>-6.7503715720083779</v>
      </c>
      <c r="O183" s="3">
        <f t="shared" si="80"/>
        <v>2.7293873895063365</v>
      </c>
      <c r="P183" s="3">
        <f t="shared" si="81"/>
        <v>0.93873861638214939</v>
      </c>
      <c r="Q183" s="3">
        <f t="shared" si="82"/>
        <v>1.893190050890917</v>
      </c>
      <c r="R183" s="3">
        <f t="shared" si="83"/>
        <v>0.86911883044270666</v>
      </c>
      <c r="S183" s="3">
        <f t="shared" si="84"/>
        <v>1.4426323200433053</v>
      </c>
      <c r="T183" s="4">
        <f t="shared" si="85"/>
        <v>0.80886195033310637</v>
      </c>
      <c r="U183" s="1">
        <f t="shared" si="105"/>
        <v>1</v>
      </c>
      <c r="V183" s="3">
        <f t="shared" si="87"/>
        <v>0.19113804966689363</v>
      </c>
      <c r="W183" s="3">
        <f t="shared" si="106"/>
        <v>1.8266877015231948E-2</v>
      </c>
      <c r="X183" s="5" t="str">
        <f t="shared" si="101"/>
        <v>PASS</v>
      </c>
      <c r="Y183" s="3">
        <f t="shared" si="107"/>
        <v>2.9550763538071016E-2</v>
      </c>
      <c r="Z183" s="3">
        <f t="shared" si="108"/>
        <v>7.7185029844264201E-3</v>
      </c>
      <c r="AA183" s="3">
        <f t="shared" si="109"/>
        <v>1.5197471419125983E-2</v>
      </c>
      <c r="AB183" s="3">
        <f t="shared" si="110"/>
        <v>4.2214981856880396</v>
      </c>
      <c r="AC183" s="3">
        <f t="shared" si="111"/>
        <v>4.4329294986428955</v>
      </c>
      <c r="AD183" s="3">
        <f t="shared" si="112"/>
        <v>-1.6649495942144268</v>
      </c>
      <c r="AE183" s="3">
        <f t="shared" si="113"/>
        <v>-3.8257483138237287</v>
      </c>
      <c r="AF183" s="3">
        <f t="shared" si="114"/>
        <v>-3.539041827253953</v>
      </c>
      <c r="AG183" s="3">
        <f t="shared" si="115"/>
        <v>5.5082192352404995</v>
      </c>
      <c r="AH183" s="3">
        <f t="shared" si="116"/>
        <v>4.6112021294031562</v>
      </c>
      <c r="AI183" s="3">
        <f t="shared" si="117"/>
        <v>4.5853305981417174</v>
      </c>
      <c r="AJ183" s="11">
        <f t="shared" si="118"/>
        <v>-6.6764946631632007</v>
      </c>
    </row>
    <row r="184" spans="1:36" ht="18" customHeight="1" x14ac:dyDescent="0.25">
      <c r="A184" s="18">
        <f t="shared" si="104"/>
        <v>42</v>
      </c>
      <c r="B184" s="2">
        <v>167</v>
      </c>
      <c r="C184" s="2">
        <v>1</v>
      </c>
      <c r="D184" s="2">
        <v>0</v>
      </c>
      <c r="E184" s="2">
        <v>1</v>
      </c>
      <c r="F184" s="3">
        <f t="shared" si="103"/>
        <v>4.2214981856880396</v>
      </c>
      <c r="G184" s="3">
        <f t="shared" si="103"/>
        <v>4.4329294986428955</v>
      </c>
      <c r="H184" s="3">
        <f t="shared" si="103"/>
        <v>-1.6649495942144268</v>
      </c>
      <c r="I184" s="3">
        <f t="shared" si="103"/>
        <v>-3.8257483138237287</v>
      </c>
      <c r="J184" s="3">
        <f t="shared" si="103"/>
        <v>-3.539041827253953</v>
      </c>
      <c r="K184" s="3">
        <f t="shared" si="103"/>
        <v>5.5082192352404995</v>
      </c>
      <c r="L184" s="3">
        <f t="shared" si="102"/>
        <v>4.6112021294031562</v>
      </c>
      <c r="M184" s="3">
        <f t="shared" si="102"/>
        <v>4.5853305981417174</v>
      </c>
      <c r="N184" s="3">
        <f t="shared" si="102"/>
        <v>-6.6764946631632007</v>
      </c>
      <c r="O184" s="3">
        <f t="shared" si="80"/>
        <v>2.5565485914736126</v>
      </c>
      <c r="P184" s="3">
        <f t="shared" si="81"/>
        <v>0.92801222488081592</v>
      </c>
      <c r="Q184" s="3">
        <f t="shared" si="82"/>
        <v>1.6824709214167708</v>
      </c>
      <c r="R184" s="3">
        <f t="shared" si="83"/>
        <v>0.84323144468021793</v>
      </c>
      <c r="S184" s="3">
        <f t="shared" si="84"/>
        <v>1.4692522289268268</v>
      </c>
      <c r="T184" s="4">
        <f t="shared" si="85"/>
        <v>0.81294370190544385</v>
      </c>
      <c r="U184" s="1">
        <f t="shared" si="105"/>
        <v>1</v>
      </c>
      <c r="V184" s="3">
        <f t="shared" si="87"/>
        <v>0.18705629809455615</v>
      </c>
      <c r="W184" s="3">
        <f t="shared" si="106"/>
        <v>1.7495029328419724E-2</v>
      </c>
      <c r="X184" s="5" t="str">
        <f t="shared" si="101"/>
        <v>PASS</v>
      </c>
      <c r="Y184" s="3">
        <f t="shared" si="107"/>
        <v>2.8444947814379683E-2</v>
      </c>
      <c r="Z184" s="3">
        <f t="shared" si="108"/>
        <v>8.7625750294425334E-3</v>
      </c>
      <c r="AA184" s="3">
        <f t="shared" si="109"/>
        <v>1.7241757961086755E-2</v>
      </c>
      <c r="AB184" s="3">
        <f t="shared" si="110"/>
        <v>4.2434046232616458</v>
      </c>
      <c r="AC184" s="3">
        <f t="shared" si="111"/>
        <v>4.4329294986428955</v>
      </c>
      <c r="AD184" s="3">
        <f t="shared" si="112"/>
        <v>-1.6430431566408203</v>
      </c>
      <c r="AE184" s="3">
        <f t="shared" si="113"/>
        <v>-3.7826439189210119</v>
      </c>
      <c r="AF184" s="3">
        <f t="shared" si="114"/>
        <v>-3.539041827253953</v>
      </c>
      <c r="AG184" s="3">
        <f t="shared" si="115"/>
        <v>5.5513236301432167</v>
      </c>
      <c r="AH184" s="3">
        <f t="shared" si="116"/>
        <v>4.6771952776727588</v>
      </c>
      <c r="AI184" s="3">
        <f t="shared" si="117"/>
        <v>4.6452947842401491</v>
      </c>
      <c r="AJ184" s="11">
        <f t="shared" si="118"/>
        <v>-6.6053822936272519</v>
      </c>
    </row>
    <row r="185" spans="1:36" ht="18" customHeight="1" x14ac:dyDescent="0.25">
      <c r="A185" s="18">
        <f t="shared" si="104"/>
        <v>42</v>
      </c>
      <c r="B185" s="2">
        <v>168</v>
      </c>
      <c r="C185" s="2">
        <v>1</v>
      </c>
      <c r="D185" s="2">
        <v>1</v>
      </c>
      <c r="E185" s="2">
        <v>0</v>
      </c>
      <c r="F185" s="3">
        <f t="shared" si="103"/>
        <v>4.2434046232616458</v>
      </c>
      <c r="G185" s="3">
        <f t="shared" si="103"/>
        <v>4.4329294986428955</v>
      </c>
      <c r="H185" s="3">
        <f t="shared" si="103"/>
        <v>-1.6430431566408203</v>
      </c>
      <c r="I185" s="3">
        <f t="shared" si="103"/>
        <v>-3.7826439189210119</v>
      </c>
      <c r="J185" s="3">
        <f t="shared" si="103"/>
        <v>-3.539041827253953</v>
      </c>
      <c r="K185" s="3">
        <f t="shared" si="103"/>
        <v>5.5513236301432167</v>
      </c>
      <c r="L185" s="3">
        <f t="shared" si="102"/>
        <v>4.6771952776727588</v>
      </c>
      <c r="M185" s="3">
        <f t="shared" si="102"/>
        <v>4.6452947842401491</v>
      </c>
      <c r="N185" s="3">
        <f t="shared" si="102"/>
        <v>-6.6053822936272519</v>
      </c>
      <c r="O185" s="3">
        <f t="shared" si="80"/>
        <v>7.0332909652637223</v>
      </c>
      <c r="P185" s="3">
        <f t="shared" si="81"/>
        <v>0.99911875299356478</v>
      </c>
      <c r="Q185" s="3">
        <f t="shared" si="82"/>
        <v>-1.7703621160317482</v>
      </c>
      <c r="R185" s="3">
        <f t="shared" si="83"/>
        <v>0.14549730205428205</v>
      </c>
      <c r="S185" s="3">
        <f t="shared" si="84"/>
        <v>-1.2564309219376852</v>
      </c>
      <c r="T185" s="4">
        <f t="shared" si="85"/>
        <v>0.22158890094645992</v>
      </c>
      <c r="U185" s="1">
        <f t="shared" si="105"/>
        <v>0</v>
      </c>
      <c r="V185" s="3">
        <f t="shared" si="87"/>
        <v>-0.22158890094645992</v>
      </c>
      <c r="W185" s="3">
        <f t="shared" si="106"/>
        <v>2.4550820511330011E-2</v>
      </c>
      <c r="X185" s="5" t="str">
        <f t="shared" si="101"/>
        <v>PASS</v>
      </c>
      <c r="Y185" s="3">
        <f t="shared" si="107"/>
        <v>-3.8221262353781177E-2</v>
      </c>
      <c r="Z185" s="3">
        <f t="shared" si="108"/>
        <v>-1.5740020527953995E-4</v>
      </c>
      <c r="AA185" s="3">
        <f t="shared" si="109"/>
        <v>-2.2074286969783419E-2</v>
      </c>
      <c r="AB185" s="3">
        <f t="shared" si="110"/>
        <v>4.2430111227484471</v>
      </c>
      <c r="AC185" s="3">
        <f t="shared" si="111"/>
        <v>4.4325359981296968</v>
      </c>
      <c r="AD185" s="3">
        <f t="shared" si="112"/>
        <v>-1.6434366571540191</v>
      </c>
      <c r="AE185" s="3">
        <f t="shared" si="113"/>
        <v>-3.8378296363454707</v>
      </c>
      <c r="AF185" s="3">
        <f t="shared" si="114"/>
        <v>-3.5942275446784118</v>
      </c>
      <c r="AG185" s="3">
        <f t="shared" si="115"/>
        <v>5.4961379127187584</v>
      </c>
      <c r="AH185" s="3">
        <f t="shared" si="116"/>
        <v>4.5817263277208848</v>
      </c>
      <c r="AI185" s="3">
        <f t="shared" si="117"/>
        <v>4.6313920578561891</v>
      </c>
      <c r="AJ185" s="11">
        <f t="shared" si="118"/>
        <v>-6.7009354495117046</v>
      </c>
    </row>
    <row r="186" spans="1:36" ht="18" customHeight="1" x14ac:dyDescent="0.25">
      <c r="A186" s="18">
        <f t="shared" si="104"/>
        <v>43</v>
      </c>
      <c r="B186" s="2">
        <v>169</v>
      </c>
      <c r="C186" s="2">
        <v>0</v>
      </c>
      <c r="D186" s="2">
        <v>0</v>
      </c>
      <c r="E186" s="2">
        <v>0</v>
      </c>
      <c r="F186" s="3">
        <f t="shared" si="103"/>
        <v>4.2430111227484471</v>
      </c>
      <c r="G186" s="3">
        <f t="shared" si="103"/>
        <v>4.4325359981296968</v>
      </c>
      <c r="H186" s="3">
        <f t="shared" si="103"/>
        <v>-1.6434366571540191</v>
      </c>
      <c r="I186" s="3">
        <f t="shared" si="103"/>
        <v>-3.8378296363454707</v>
      </c>
      <c r="J186" s="3">
        <f t="shared" si="103"/>
        <v>-3.5942275446784118</v>
      </c>
      <c r="K186" s="3">
        <f t="shared" si="103"/>
        <v>5.4961379127187584</v>
      </c>
      <c r="L186" s="3">
        <f t="shared" si="102"/>
        <v>4.5817263277208848</v>
      </c>
      <c r="M186" s="3">
        <f t="shared" si="102"/>
        <v>4.6313920578561891</v>
      </c>
      <c r="N186" s="3">
        <f t="shared" si="102"/>
        <v>-6.7009354495117046</v>
      </c>
      <c r="O186" s="3">
        <f t="shared" si="80"/>
        <v>-1.6434366571540191</v>
      </c>
      <c r="P186" s="3">
        <f t="shared" si="81"/>
        <v>0.16199797834481308</v>
      </c>
      <c r="Q186" s="3">
        <f t="shared" si="82"/>
        <v>5.4961379127187584</v>
      </c>
      <c r="R186" s="3">
        <f t="shared" si="83"/>
        <v>0.99591417701353235</v>
      </c>
      <c r="S186" s="3">
        <f t="shared" si="84"/>
        <v>-1.3462360373648599</v>
      </c>
      <c r="T186" s="4">
        <f t="shared" si="85"/>
        <v>0.2064864149173912</v>
      </c>
      <c r="U186" s="1">
        <f t="shared" si="105"/>
        <v>0</v>
      </c>
      <c r="V186" s="3">
        <f t="shared" si="87"/>
        <v>-0.2064864149173912</v>
      </c>
      <c r="W186" s="3">
        <f t="shared" si="106"/>
        <v>2.1318319772718516E-2</v>
      </c>
      <c r="X186" s="5" t="str">
        <f t="shared" si="101"/>
        <v>PASS</v>
      </c>
      <c r="Y186" s="3">
        <f t="shared" si="107"/>
        <v>-3.3832752701574674E-2</v>
      </c>
      <c r="Z186" s="3">
        <f t="shared" si="108"/>
        <v>-2.1043653400127673E-2</v>
      </c>
      <c r="AA186" s="3">
        <f t="shared" si="109"/>
        <v>-6.3760298699875218E-4</v>
      </c>
      <c r="AB186" s="3">
        <f t="shared" si="110"/>
        <v>4.2430111227484471</v>
      </c>
      <c r="AC186" s="3">
        <f t="shared" si="111"/>
        <v>4.4325359981296968</v>
      </c>
      <c r="AD186" s="3">
        <f t="shared" si="112"/>
        <v>-1.6960457906543382</v>
      </c>
      <c r="AE186" s="3">
        <f t="shared" si="113"/>
        <v>-3.8378296363454707</v>
      </c>
      <c r="AF186" s="3">
        <f t="shared" si="114"/>
        <v>-3.5942275446784118</v>
      </c>
      <c r="AG186" s="3">
        <f t="shared" si="115"/>
        <v>5.4945439052512617</v>
      </c>
      <c r="AH186" s="3">
        <f t="shared" si="116"/>
        <v>4.5680242338721468</v>
      </c>
      <c r="AI186" s="3">
        <f t="shared" si="117"/>
        <v>4.5471557626989609</v>
      </c>
      <c r="AJ186" s="11">
        <f t="shared" si="118"/>
        <v>-6.7855173312656412</v>
      </c>
    </row>
    <row r="187" spans="1:36" ht="18" customHeight="1" x14ac:dyDescent="0.25">
      <c r="A187" s="18">
        <f t="shared" si="104"/>
        <v>43</v>
      </c>
      <c r="B187" s="2">
        <v>170</v>
      </c>
      <c r="C187" s="2">
        <v>0</v>
      </c>
      <c r="D187" s="2">
        <v>1</v>
      </c>
      <c r="E187" s="2">
        <v>1</v>
      </c>
      <c r="F187" s="3">
        <f t="shared" si="103"/>
        <v>4.2430111227484471</v>
      </c>
      <c r="G187" s="3">
        <f t="shared" si="103"/>
        <v>4.4325359981296968</v>
      </c>
      <c r="H187" s="3">
        <f t="shared" si="103"/>
        <v>-1.6960457906543382</v>
      </c>
      <c r="I187" s="3">
        <f t="shared" si="103"/>
        <v>-3.8378296363454707</v>
      </c>
      <c r="J187" s="3">
        <f t="shared" si="103"/>
        <v>-3.5942275446784118</v>
      </c>
      <c r="K187" s="3">
        <f t="shared" si="103"/>
        <v>5.4945439052512617</v>
      </c>
      <c r="L187" s="3">
        <f t="shared" si="102"/>
        <v>4.5680242338721468</v>
      </c>
      <c r="M187" s="3">
        <f t="shared" si="102"/>
        <v>4.5471557626989609</v>
      </c>
      <c r="N187" s="3">
        <f t="shared" si="102"/>
        <v>-6.7855173312656412</v>
      </c>
      <c r="O187" s="3">
        <f t="shared" si="80"/>
        <v>2.7364902074753585</v>
      </c>
      <c r="P187" s="3">
        <f t="shared" si="81"/>
        <v>0.93914581760205507</v>
      </c>
      <c r="Q187" s="3">
        <f t="shared" si="82"/>
        <v>1.9003163605728499</v>
      </c>
      <c r="R187" s="3">
        <f t="shared" si="83"/>
        <v>0.86992732721889032</v>
      </c>
      <c r="S187" s="3">
        <f t="shared" si="84"/>
        <v>1.4602185817728994</v>
      </c>
      <c r="T187" s="4">
        <f t="shared" si="85"/>
        <v>0.81156610402189333</v>
      </c>
      <c r="U187" s="1">
        <f t="shared" si="105"/>
        <v>1</v>
      </c>
      <c r="V187" s="3">
        <f t="shared" si="87"/>
        <v>0.18843389597810667</v>
      </c>
      <c r="W187" s="3">
        <f t="shared" si="106"/>
        <v>1.7753666576743963E-2</v>
      </c>
      <c r="X187" s="5" t="str">
        <f t="shared" si="101"/>
        <v>PASS</v>
      </c>
      <c r="Y187" s="3">
        <f t="shared" si="107"/>
        <v>2.8816548031583605E-2</v>
      </c>
      <c r="Z187" s="3">
        <f t="shared" si="108"/>
        <v>7.5230476880551638E-3</v>
      </c>
      <c r="AA187" s="3">
        <f t="shared" si="109"/>
        <v>1.4826915899210235E-2</v>
      </c>
      <c r="AB187" s="3">
        <f t="shared" si="110"/>
        <v>4.2430111227484471</v>
      </c>
      <c r="AC187" s="3">
        <f t="shared" si="111"/>
        <v>4.4513436173498349</v>
      </c>
      <c r="AD187" s="3">
        <f t="shared" si="112"/>
        <v>-1.6772381714342004</v>
      </c>
      <c r="AE187" s="3">
        <f t="shared" si="113"/>
        <v>-3.8378296363454707</v>
      </c>
      <c r="AF187" s="3">
        <f t="shared" si="114"/>
        <v>-3.5571602549303862</v>
      </c>
      <c r="AG187" s="3">
        <f t="shared" si="115"/>
        <v>5.5316111949992877</v>
      </c>
      <c r="AH187" s="3">
        <f t="shared" si="116"/>
        <v>4.6356815852761226</v>
      </c>
      <c r="AI187" s="3">
        <f t="shared" si="117"/>
        <v>4.6098265192209364</v>
      </c>
      <c r="AJ187" s="11">
        <f t="shared" si="118"/>
        <v>-6.7134759611866821</v>
      </c>
    </row>
    <row r="188" spans="1:36" ht="18" customHeight="1" x14ac:dyDescent="0.25">
      <c r="A188" s="18">
        <f t="shared" si="104"/>
        <v>43</v>
      </c>
      <c r="B188" s="2">
        <v>171</v>
      </c>
      <c r="C188" s="2">
        <v>1</v>
      </c>
      <c r="D188" s="2">
        <v>0</v>
      </c>
      <c r="E188" s="2">
        <v>1</v>
      </c>
      <c r="F188" s="3">
        <f t="shared" si="103"/>
        <v>4.2430111227484471</v>
      </c>
      <c r="G188" s="3">
        <f t="shared" si="103"/>
        <v>4.4513436173498349</v>
      </c>
      <c r="H188" s="3">
        <f t="shared" si="103"/>
        <v>-1.6772381714342004</v>
      </c>
      <c r="I188" s="3">
        <f t="shared" si="103"/>
        <v>-3.8378296363454707</v>
      </c>
      <c r="J188" s="3">
        <f t="shared" si="103"/>
        <v>-3.5571602549303862</v>
      </c>
      <c r="K188" s="3">
        <f t="shared" si="103"/>
        <v>5.5316111949992877</v>
      </c>
      <c r="L188" s="3">
        <f t="shared" si="102"/>
        <v>4.6356815852761226</v>
      </c>
      <c r="M188" s="3">
        <f t="shared" si="102"/>
        <v>4.6098265192209364</v>
      </c>
      <c r="N188" s="3">
        <f t="shared" si="102"/>
        <v>-6.7134759611866821</v>
      </c>
      <c r="O188" s="3">
        <f t="shared" si="80"/>
        <v>2.5657729513142469</v>
      </c>
      <c r="P188" s="3">
        <f t="shared" si="81"/>
        <v>0.9286260354167134</v>
      </c>
      <c r="Q188" s="3">
        <f t="shared" si="82"/>
        <v>1.693781558653817</v>
      </c>
      <c r="R188" s="3">
        <f t="shared" si="83"/>
        <v>0.84472082452316544</v>
      </c>
      <c r="S188" s="3">
        <f t="shared" si="84"/>
        <v>1.4853551090276129</v>
      </c>
      <c r="T188" s="4">
        <f t="shared" si="85"/>
        <v>0.81538007607223362</v>
      </c>
      <c r="U188" s="1">
        <f t="shared" si="105"/>
        <v>1</v>
      </c>
      <c r="V188" s="3">
        <f t="shared" si="87"/>
        <v>0.18461992392776638</v>
      </c>
      <c r="W188" s="3">
        <f t="shared" si="106"/>
        <v>1.7042258155547121E-2</v>
      </c>
      <c r="X188" s="5" t="str">
        <f t="shared" si="101"/>
        <v>PASS</v>
      </c>
      <c r="Y188" s="3">
        <f t="shared" si="107"/>
        <v>2.7791835502625314E-2</v>
      </c>
      <c r="Z188" s="3">
        <f t="shared" si="108"/>
        <v>8.5390883055929158E-3</v>
      </c>
      <c r="AA188" s="3">
        <f t="shared" si="109"/>
        <v>1.6804601942707366E-2</v>
      </c>
      <c r="AB188" s="3">
        <f t="shared" si="110"/>
        <v>4.2643588435124293</v>
      </c>
      <c r="AC188" s="3">
        <f t="shared" si="111"/>
        <v>4.4513436173498349</v>
      </c>
      <c r="AD188" s="3">
        <f t="shared" si="112"/>
        <v>-1.6558904506702181</v>
      </c>
      <c r="AE188" s="3">
        <f t="shared" si="113"/>
        <v>-3.7958181314887023</v>
      </c>
      <c r="AF188" s="3">
        <f t="shared" si="114"/>
        <v>-3.5571602549303862</v>
      </c>
      <c r="AG188" s="3">
        <f t="shared" si="115"/>
        <v>5.5736226998560561</v>
      </c>
      <c r="AH188" s="3">
        <f t="shared" si="116"/>
        <v>4.7002021403255139</v>
      </c>
      <c r="AI188" s="3">
        <f t="shared" si="117"/>
        <v>4.668517374722911</v>
      </c>
      <c r="AJ188" s="11">
        <f t="shared" si="118"/>
        <v>-6.6439963724301192</v>
      </c>
    </row>
    <row r="189" spans="1:36" ht="18" customHeight="1" x14ac:dyDescent="0.25">
      <c r="A189" s="18">
        <f t="shared" si="104"/>
        <v>43</v>
      </c>
      <c r="B189" s="2">
        <v>172</v>
      </c>
      <c r="C189" s="2">
        <v>1</v>
      </c>
      <c r="D189" s="2">
        <v>1</v>
      </c>
      <c r="E189" s="2">
        <v>0</v>
      </c>
      <c r="F189" s="3">
        <f t="shared" si="103"/>
        <v>4.2643588435124293</v>
      </c>
      <c r="G189" s="3">
        <f t="shared" si="103"/>
        <v>4.4513436173498349</v>
      </c>
      <c r="H189" s="3">
        <f t="shared" si="103"/>
        <v>-1.6558904506702181</v>
      </c>
      <c r="I189" s="3">
        <f t="shared" si="103"/>
        <v>-3.7958181314887023</v>
      </c>
      <c r="J189" s="3">
        <f t="shared" si="103"/>
        <v>-3.5571602549303862</v>
      </c>
      <c r="K189" s="3">
        <f t="shared" si="103"/>
        <v>5.5736226998560561</v>
      </c>
      <c r="L189" s="3">
        <f t="shared" si="102"/>
        <v>4.7002021403255139</v>
      </c>
      <c r="M189" s="3">
        <f t="shared" si="102"/>
        <v>4.668517374722911</v>
      </c>
      <c r="N189" s="3">
        <f t="shared" si="102"/>
        <v>-6.6439963724301192</v>
      </c>
      <c r="O189" s="3">
        <f t="shared" si="80"/>
        <v>7.0598120101920463</v>
      </c>
      <c r="P189" s="3">
        <f t="shared" si="81"/>
        <v>0.99914179759331079</v>
      </c>
      <c r="Q189" s="3">
        <f t="shared" si="82"/>
        <v>-1.7793556865630329</v>
      </c>
      <c r="R189" s="3">
        <f t="shared" si="83"/>
        <v>0.14438271198085414</v>
      </c>
      <c r="S189" s="3">
        <f t="shared" si="84"/>
        <v>-1.2737747574011271</v>
      </c>
      <c r="T189" s="4">
        <f t="shared" si="85"/>
        <v>0.21861176068523716</v>
      </c>
      <c r="U189" s="1">
        <f t="shared" si="105"/>
        <v>0</v>
      </c>
      <c r="V189" s="3">
        <f t="shared" si="87"/>
        <v>-0.21861176068523716</v>
      </c>
      <c r="W189" s="3">
        <f t="shared" si="106"/>
        <v>2.3895550954949701E-2</v>
      </c>
      <c r="X189" s="5" t="str">
        <f t="shared" si="101"/>
        <v>PASS</v>
      </c>
      <c r="Y189" s="3">
        <f t="shared" si="107"/>
        <v>-3.7343404976288692E-2</v>
      </c>
      <c r="Z189" s="3">
        <f t="shared" si="108"/>
        <v>-1.5050374473042896E-4</v>
      </c>
      <c r="AA189" s="3">
        <f t="shared" si="109"/>
        <v>-2.1537120600919193E-2</v>
      </c>
      <c r="AB189" s="3">
        <f t="shared" si="110"/>
        <v>4.2639825841506029</v>
      </c>
      <c r="AC189" s="3">
        <f t="shared" si="111"/>
        <v>4.4509673579880085</v>
      </c>
      <c r="AD189" s="3">
        <f t="shared" si="112"/>
        <v>-1.6562667100320443</v>
      </c>
      <c r="AE189" s="3">
        <f t="shared" si="113"/>
        <v>-3.8496609329910001</v>
      </c>
      <c r="AF189" s="3">
        <f t="shared" si="114"/>
        <v>-3.611003056432684</v>
      </c>
      <c r="AG189" s="3">
        <f t="shared" si="115"/>
        <v>5.5197798983537583</v>
      </c>
      <c r="AH189" s="3">
        <f t="shared" si="116"/>
        <v>4.6069237483848537</v>
      </c>
      <c r="AI189" s="3">
        <f t="shared" si="117"/>
        <v>4.6550380195102212</v>
      </c>
      <c r="AJ189" s="11">
        <f t="shared" si="118"/>
        <v>-6.7373548848708413</v>
      </c>
    </row>
    <row r="190" spans="1:36" ht="18" customHeight="1" x14ac:dyDescent="0.25">
      <c r="A190" s="18">
        <f t="shared" si="104"/>
        <v>44</v>
      </c>
      <c r="B190" s="2">
        <v>173</v>
      </c>
      <c r="C190" s="2">
        <v>0</v>
      </c>
      <c r="D190" s="2">
        <v>0</v>
      </c>
      <c r="E190" s="2">
        <v>0</v>
      </c>
      <c r="F190" s="3">
        <f t="shared" si="103"/>
        <v>4.2639825841506029</v>
      </c>
      <c r="G190" s="3">
        <f t="shared" si="103"/>
        <v>4.4509673579880085</v>
      </c>
      <c r="H190" s="3">
        <f t="shared" si="103"/>
        <v>-1.6562667100320443</v>
      </c>
      <c r="I190" s="3">
        <f t="shared" si="103"/>
        <v>-3.8496609329910001</v>
      </c>
      <c r="J190" s="3">
        <f t="shared" si="103"/>
        <v>-3.611003056432684</v>
      </c>
      <c r="K190" s="3">
        <f t="shared" si="103"/>
        <v>5.5197798983537583</v>
      </c>
      <c r="L190" s="3">
        <f t="shared" si="102"/>
        <v>4.6069237483848537</v>
      </c>
      <c r="M190" s="3">
        <f t="shared" si="102"/>
        <v>4.6550380195102212</v>
      </c>
      <c r="N190" s="3">
        <f t="shared" si="102"/>
        <v>-6.7373548848708413</v>
      </c>
      <c r="O190" s="3">
        <f t="shared" si="80"/>
        <v>-1.6562667100320443</v>
      </c>
      <c r="P190" s="3">
        <f t="shared" si="81"/>
        <v>0.16026378349052525</v>
      </c>
      <c r="Q190" s="3">
        <f t="shared" si="82"/>
        <v>5.5197798983537583</v>
      </c>
      <c r="R190" s="3">
        <f t="shared" si="83"/>
        <v>0.99600926008342461</v>
      </c>
      <c r="S190" s="3">
        <f t="shared" si="84"/>
        <v>-1.3625708812297468</v>
      </c>
      <c r="T190" s="4">
        <f t="shared" si="85"/>
        <v>0.203822784419189</v>
      </c>
      <c r="U190" s="1">
        <f t="shared" si="105"/>
        <v>0</v>
      </c>
      <c r="V190" s="3">
        <f t="shared" si="87"/>
        <v>-0.203822784419189</v>
      </c>
      <c r="W190" s="3">
        <f t="shared" si="106"/>
        <v>2.0771863724195597E-2</v>
      </c>
      <c r="X190" s="5" t="str">
        <f t="shared" si="101"/>
        <v>PASS</v>
      </c>
      <c r="Y190" s="3">
        <f t="shared" si="107"/>
        <v>-3.3076169244708215E-2</v>
      </c>
      <c r="Z190" s="3">
        <f t="shared" si="108"/>
        <v>-2.050711207303518E-2</v>
      </c>
      <c r="AA190" s="3">
        <f t="shared" si="109"/>
        <v>-6.1200537866022264E-4</v>
      </c>
      <c r="AB190" s="3">
        <f t="shared" si="110"/>
        <v>4.2639825841506029</v>
      </c>
      <c r="AC190" s="3">
        <f t="shared" si="111"/>
        <v>4.4509673579880085</v>
      </c>
      <c r="AD190" s="3">
        <f t="shared" si="112"/>
        <v>-1.7075344902146323</v>
      </c>
      <c r="AE190" s="3">
        <f t="shared" si="113"/>
        <v>-3.8496609329910001</v>
      </c>
      <c r="AF190" s="3">
        <f t="shared" si="114"/>
        <v>-3.611003056432684</v>
      </c>
      <c r="AG190" s="3">
        <f t="shared" si="115"/>
        <v>5.5182498849071075</v>
      </c>
      <c r="AH190" s="3">
        <f t="shared" si="116"/>
        <v>4.5936714683185293</v>
      </c>
      <c r="AI190" s="3">
        <f t="shared" si="117"/>
        <v>4.5726775923706811</v>
      </c>
      <c r="AJ190" s="11">
        <f t="shared" si="118"/>
        <v>-6.8200453079826122</v>
      </c>
    </row>
    <row r="191" spans="1:36" ht="18" customHeight="1" x14ac:dyDescent="0.25">
      <c r="A191" s="18">
        <f t="shared" si="104"/>
        <v>44</v>
      </c>
      <c r="B191" s="2">
        <v>174</v>
      </c>
      <c r="C191" s="2">
        <v>0</v>
      </c>
      <c r="D191" s="2">
        <v>1</v>
      </c>
      <c r="E191" s="2">
        <v>1</v>
      </c>
      <c r="F191" s="3">
        <f t="shared" si="103"/>
        <v>4.2639825841506029</v>
      </c>
      <c r="G191" s="3">
        <f t="shared" si="103"/>
        <v>4.4509673579880085</v>
      </c>
      <c r="H191" s="3">
        <f t="shared" si="103"/>
        <v>-1.7075344902146323</v>
      </c>
      <c r="I191" s="3">
        <f t="shared" si="103"/>
        <v>-3.8496609329910001</v>
      </c>
      <c r="J191" s="3">
        <f t="shared" si="103"/>
        <v>-3.611003056432684</v>
      </c>
      <c r="K191" s="3">
        <f t="shared" si="103"/>
        <v>5.5182498849071075</v>
      </c>
      <c r="L191" s="3">
        <f t="shared" si="102"/>
        <v>4.5936714683185293</v>
      </c>
      <c r="M191" s="3">
        <f t="shared" si="102"/>
        <v>4.5726775923706811</v>
      </c>
      <c r="N191" s="3">
        <f t="shared" si="102"/>
        <v>-6.8200453079826122</v>
      </c>
      <c r="O191" s="3">
        <f t="shared" si="80"/>
        <v>2.7434328677733761</v>
      </c>
      <c r="P191" s="3">
        <f t="shared" si="81"/>
        <v>0.9395413896149768</v>
      </c>
      <c r="Q191" s="3">
        <f t="shared" si="82"/>
        <v>1.9072468284744235</v>
      </c>
      <c r="R191" s="3">
        <f t="shared" si="83"/>
        <v>0.87070952729615603</v>
      </c>
      <c r="S191" s="3">
        <f t="shared" si="84"/>
        <v>1.47737311172685</v>
      </c>
      <c r="T191" s="4">
        <f t="shared" si="85"/>
        <v>0.8141754768371654</v>
      </c>
      <c r="U191" s="1">
        <f t="shared" si="105"/>
        <v>1</v>
      </c>
      <c r="V191" s="3">
        <f t="shared" si="87"/>
        <v>0.1858245231628346</v>
      </c>
      <c r="W191" s="3">
        <f t="shared" si="106"/>
        <v>1.7265376704347427E-2</v>
      </c>
      <c r="X191" s="5" t="str">
        <f t="shared" si="101"/>
        <v>PASS</v>
      </c>
      <c r="Y191" s="3">
        <f t="shared" si="107"/>
        <v>2.8114092622070704E-2</v>
      </c>
      <c r="Z191" s="3">
        <f t="shared" si="108"/>
        <v>7.3359790254867944E-3</v>
      </c>
      <c r="AA191" s="3">
        <f t="shared" si="109"/>
        <v>1.4472197231818258E-2</v>
      </c>
      <c r="AB191" s="3">
        <f t="shared" si="110"/>
        <v>4.2639825841506029</v>
      </c>
      <c r="AC191" s="3">
        <f t="shared" si="111"/>
        <v>4.4693073055517258</v>
      </c>
      <c r="AD191" s="3">
        <f t="shared" si="112"/>
        <v>-1.6891945426509154</v>
      </c>
      <c r="AE191" s="3">
        <f t="shared" si="113"/>
        <v>-3.8496609329910001</v>
      </c>
      <c r="AF191" s="3">
        <f t="shared" si="114"/>
        <v>-3.5748225633531385</v>
      </c>
      <c r="AG191" s="3">
        <f t="shared" si="115"/>
        <v>5.5544303779866535</v>
      </c>
      <c r="AH191" s="3">
        <f t="shared" si="116"/>
        <v>4.6597073524432906</v>
      </c>
      <c r="AI191" s="3">
        <f t="shared" si="117"/>
        <v>4.6338756131139895</v>
      </c>
      <c r="AJ191" s="11">
        <f t="shared" si="118"/>
        <v>-6.7497600764274353</v>
      </c>
    </row>
    <row r="192" spans="1:36" ht="18" customHeight="1" x14ac:dyDescent="0.25">
      <c r="A192" s="18">
        <f t="shared" si="104"/>
        <v>44</v>
      </c>
      <c r="B192" s="2">
        <v>175</v>
      </c>
      <c r="C192" s="2">
        <v>1</v>
      </c>
      <c r="D192" s="2">
        <v>0</v>
      </c>
      <c r="E192" s="2">
        <v>1</v>
      </c>
      <c r="F192" s="3">
        <f t="shared" si="103"/>
        <v>4.2639825841506029</v>
      </c>
      <c r="G192" s="3">
        <f t="shared" si="103"/>
        <v>4.4693073055517258</v>
      </c>
      <c r="H192" s="3">
        <f t="shared" si="103"/>
        <v>-1.6891945426509154</v>
      </c>
      <c r="I192" s="3">
        <f t="shared" si="103"/>
        <v>-3.8496609329910001</v>
      </c>
      <c r="J192" s="3">
        <f t="shared" si="103"/>
        <v>-3.5748225633531385</v>
      </c>
      <c r="K192" s="3">
        <f t="shared" si="103"/>
        <v>5.5544303779866535</v>
      </c>
      <c r="L192" s="3">
        <f t="shared" si="102"/>
        <v>4.6597073524432906</v>
      </c>
      <c r="M192" s="3">
        <f t="shared" si="102"/>
        <v>4.6338756131139895</v>
      </c>
      <c r="N192" s="3">
        <f t="shared" si="102"/>
        <v>-6.7497600764274353</v>
      </c>
      <c r="O192" s="3">
        <f t="shared" si="80"/>
        <v>2.5747880414996875</v>
      </c>
      <c r="P192" s="3">
        <f t="shared" si="81"/>
        <v>0.92922124908814585</v>
      </c>
      <c r="Q192" s="3">
        <f t="shared" si="82"/>
        <v>1.7047694449956534</v>
      </c>
      <c r="R192" s="3">
        <f t="shared" si="83"/>
        <v>0.84615662578217077</v>
      </c>
      <c r="S192" s="3">
        <f t="shared" si="84"/>
        <v>1.5011235630819577</v>
      </c>
      <c r="T192" s="4">
        <f t="shared" si="85"/>
        <v>0.81774199185128016</v>
      </c>
      <c r="U192" s="1">
        <f t="shared" si="105"/>
        <v>1</v>
      </c>
      <c r="V192" s="3">
        <f t="shared" si="87"/>
        <v>0.18225800814871984</v>
      </c>
      <c r="W192" s="3">
        <f t="shared" si="106"/>
        <v>1.6608990767169415E-2</v>
      </c>
      <c r="X192" s="5" t="str">
        <f t="shared" si="101"/>
        <v>PASS</v>
      </c>
      <c r="Y192" s="3">
        <f t="shared" si="107"/>
        <v>2.7163738385169275E-2</v>
      </c>
      <c r="Z192" s="3">
        <f t="shared" si="108"/>
        <v>8.3247309800788295E-3</v>
      </c>
      <c r="AA192" s="3">
        <f t="shared" si="109"/>
        <v>1.6385642193734833E-2</v>
      </c>
      <c r="AB192" s="3">
        <f t="shared" si="110"/>
        <v>4.2847944116008003</v>
      </c>
      <c r="AC192" s="3">
        <f t="shared" si="111"/>
        <v>4.4693073055517258</v>
      </c>
      <c r="AD192" s="3">
        <f t="shared" si="112"/>
        <v>-1.6683827152007182</v>
      </c>
      <c r="AE192" s="3">
        <f t="shared" si="113"/>
        <v>-3.8086968275066631</v>
      </c>
      <c r="AF192" s="3">
        <f t="shared" si="114"/>
        <v>-3.5748225633531385</v>
      </c>
      <c r="AG192" s="3">
        <f t="shared" si="115"/>
        <v>5.595394483470991</v>
      </c>
      <c r="AH192" s="3">
        <f t="shared" si="116"/>
        <v>4.7228101597237169</v>
      </c>
      <c r="AI192" s="3">
        <f t="shared" si="117"/>
        <v>4.6913375561530506</v>
      </c>
      <c r="AJ192" s="11">
        <f t="shared" si="118"/>
        <v>-6.6818507304645118</v>
      </c>
    </row>
    <row r="193" spans="1:36" ht="18" customHeight="1" x14ac:dyDescent="0.25">
      <c r="A193" s="18">
        <f t="shared" si="104"/>
        <v>44</v>
      </c>
      <c r="B193" s="2">
        <v>176</v>
      </c>
      <c r="C193" s="2">
        <v>1</v>
      </c>
      <c r="D193" s="2">
        <v>1</v>
      </c>
      <c r="E193" s="2">
        <v>0</v>
      </c>
      <c r="F193" s="3">
        <f t="shared" si="103"/>
        <v>4.2847944116008003</v>
      </c>
      <c r="G193" s="3">
        <f t="shared" si="103"/>
        <v>4.4693073055517258</v>
      </c>
      <c r="H193" s="3">
        <f t="shared" si="103"/>
        <v>-1.6683827152007182</v>
      </c>
      <c r="I193" s="3">
        <f t="shared" si="103"/>
        <v>-3.8086968275066631</v>
      </c>
      <c r="J193" s="3">
        <f t="shared" si="103"/>
        <v>-3.5748225633531385</v>
      </c>
      <c r="K193" s="3">
        <f t="shared" si="103"/>
        <v>5.595394483470991</v>
      </c>
      <c r="L193" s="3">
        <f t="shared" si="102"/>
        <v>4.7228101597237169</v>
      </c>
      <c r="M193" s="3">
        <f t="shared" si="102"/>
        <v>4.6913375561530506</v>
      </c>
      <c r="N193" s="3">
        <f t="shared" si="102"/>
        <v>-6.6818507304645118</v>
      </c>
      <c r="O193" s="3">
        <f t="shared" si="80"/>
        <v>7.0857190019518077</v>
      </c>
      <c r="P193" s="3">
        <f t="shared" si="81"/>
        <v>0.99916372715179036</v>
      </c>
      <c r="Q193" s="3">
        <f t="shared" si="82"/>
        <v>-1.7881249073888101</v>
      </c>
      <c r="R193" s="3">
        <f t="shared" si="83"/>
        <v>0.14330276920381518</v>
      </c>
      <c r="S193" s="3">
        <f t="shared" si="84"/>
        <v>-1.2907084655780299</v>
      </c>
      <c r="T193" s="4">
        <f t="shared" si="85"/>
        <v>0.21573291981328011</v>
      </c>
      <c r="U193" s="1">
        <f t="shared" si="105"/>
        <v>0</v>
      </c>
      <c r="V193" s="3">
        <f t="shared" si="87"/>
        <v>-0.21573291981328011</v>
      </c>
      <c r="W193" s="3">
        <f t="shared" si="106"/>
        <v>2.3270346345581571E-2</v>
      </c>
      <c r="X193" s="5" t="str">
        <f t="shared" si="101"/>
        <v>PASS</v>
      </c>
      <c r="Y193" s="3">
        <f t="shared" si="107"/>
        <v>-3.650033316676593E-2</v>
      </c>
      <c r="Z193" s="3">
        <f t="shared" si="108"/>
        <v>-1.44039622107283E-4</v>
      </c>
      <c r="AA193" s="3">
        <f t="shared" si="109"/>
        <v>-2.1022069010523267E-2</v>
      </c>
      <c r="AB193" s="3">
        <f t="shared" si="110"/>
        <v>4.2844343125455318</v>
      </c>
      <c r="AC193" s="3">
        <f t="shared" si="111"/>
        <v>4.4689472064964573</v>
      </c>
      <c r="AD193" s="3">
        <f t="shared" si="112"/>
        <v>-1.6687428142559864</v>
      </c>
      <c r="AE193" s="3">
        <f t="shared" si="113"/>
        <v>-3.8612520000329713</v>
      </c>
      <c r="AF193" s="3">
        <f t="shared" si="114"/>
        <v>-3.6273777358794468</v>
      </c>
      <c r="AG193" s="3">
        <f t="shared" si="115"/>
        <v>5.5428393109446832</v>
      </c>
      <c r="AH193" s="3">
        <f t="shared" si="116"/>
        <v>4.6316356374007466</v>
      </c>
      <c r="AI193" s="3">
        <f t="shared" si="117"/>
        <v>4.6782610591039022</v>
      </c>
      <c r="AJ193" s="11">
        <f t="shared" si="118"/>
        <v>-6.7731015633814264</v>
      </c>
    </row>
    <row r="194" spans="1:36" ht="18" customHeight="1" x14ac:dyDescent="0.25">
      <c r="A194" s="18">
        <f t="shared" si="104"/>
        <v>45</v>
      </c>
      <c r="B194" s="2">
        <v>177</v>
      </c>
      <c r="C194" s="2">
        <v>0</v>
      </c>
      <c r="D194" s="2">
        <v>0</v>
      </c>
      <c r="E194" s="2">
        <v>0</v>
      </c>
      <c r="F194" s="3">
        <f t="shared" si="103"/>
        <v>4.2844343125455318</v>
      </c>
      <c r="G194" s="3">
        <f t="shared" si="103"/>
        <v>4.4689472064964573</v>
      </c>
      <c r="H194" s="3">
        <f t="shared" si="103"/>
        <v>-1.6687428142559864</v>
      </c>
      <c r="I194" s="3">
        <f t="shared" si="103"/>
        <v>-3.8612520000329713</v>
      </c>
      <c r="J194" s="3">
        <f t="shared" si="103"/>
        <v>-3.6273777358794468</v>
      </c>
      <c r="K194" s="3">
        <f t="shared" si="103"/>
        <v>5.5428393109446832</v>
      </c>
      <c r="L194" s="3">
        <f t="shared" si="102"/>
        <v>4.6316356374007466</v>
      </c>
      <c r="M194" s="3">
        <f t="shared" si="102"/>
        <v>4.6782610591039022</v>
      </c>
      <c r="N194" s="3">
        <f t="shared" si="102"/>
        <v>-6.7731015633814264</v>
      </c>
      <c r="O194" s="3">
        <f t="shared" si="80"/>
        <v>-1.6687428142559864</v>
      </c>
      <c r="P194" s="3">
        <f t="shared" si="81"/>
        <v>0.15859186632615135</v>
      </c>
      <c r="Q194" s="3">
        <f t="shared" si="82"/>
        <v>5.5428393109446832</v>
      </c>
      <c r="R194" s="3">
        <f t="shared" si="83"/>
        <v>0.99609987650030307</v>
      </c>
      <c r="S194" s="3">
        <f t="shared" si="84"/>
        <v>-1.3785465602937546</v>
      </c>
      <c r="T194" s="4">
        <f t="shared" si="85"/>
        <v>0.20124252997903502</v>
      </c>
      <c r="U194" s="1">
        <f t="shared" si="105"/>
        <v>0</v>
      </c>
      <c r="V194" s="3">
        <f t="shared" si="87"/>
        <v>-0.20124252997903502</v>
      </c>
      <c r="W194" s="3">
        <f t="shared" si="106"/>
        <v>2.0249277936181406E-2</v>
      </c>
      <c r="X194" s="5" t="str">
        <f t="shared" si="101"/>
        <v>PASS</v>
      </c>
      <c r="Y194" s="3">
        <f t="shared" si="107"/>
        <v>-3.2348524028111211E-2</v>
      </c>
      <c r="Z194" s="3">
        <f t="shared" si="108"/>
        <v>-1.9992931250509074E-2</v>
      </c>
      <c r="AA194" s="3">
        <f t="shared" si="109"/>
        <v>-5.8792261819622365E-4</v>
      </c>
      <c r="AB194" s="3">
        <f t="shared" si="110"/>
        <v>4.2844343125455318</v>
      </c>
      <c r="AC194" s="3">
        <f t="shared" si="111"/>
        <v>4.4689472064964573</v>
      </c>
      <c r="AD194" s="3">
        <f t="shared" si="112"/>
        <v>-1.7187251423822592</v>
      </c>
      <c r="AE194" s="3">
        <f t="shared" si="113"/>
        <v>-3.8612520000329713</v>
      </c>
      <c r="AF194" s="3">
        <f t="shared" si="114"/>
        <v>-3.6273777358794468</v>
      </c>
      <c r="AG194" s="3">
        <f t="shared" si="115"/>
        <v>5.5413695043991931</v>
      </c>
      <c r="AH194" s="3">
        <f t="shared" si="116"/>
        <v>4.6188101054044601</v>
      </c>
      <c r="AI194" s="3">
        <f t="shared" si="117"/>
        <v>4.5977051571304806</v>
      </c>
      <c r="AJ194" s="11">
        <f t="shared" si="118"/>
        <v>-6.8539728734517045</v>
      </c>
    </row>
    <row r="195" spans="1:36" ht="18" customHeight="1" x14ac:dyDescent="0.25">
      <c r="A195" s="18">
        <f t="shared" si="104"/>
        <v>45</v>
      </c>
      <c r="B195" s="2">
        <v>178</v>
      </c>
      <c r="C195" s="2">
        <v>0</v>
      </c>
      <c r="D195" s="2">
        <v>1</v>
      </c>
      <c r="E195" s="2">
        <v>1</v>
      </c>
      <c r="F195" s="3">
        <f t="shared" si="103"/>
        <v>4.2844343125455318</v>
      </c>
      <c r="G195" s="3">
        <f t="shared" si="103"/>
        <v>4.4689472064964573</v>
      </c>
      <c r="H195" s="3">
        <f t="shared" si="103"/>
        <v>-1.7187251423822592</v>
      </c>
      <c r="I195" s="3">
        <f t="shared" si="103"/>
        <v>-3.8612520000329713</v>
      </c>
      <c r="J195" s="3">
        <f t="shared" si="103"/>
        <v>-3.6273777358794468</v>
      </c>
      <c r="K195" s="3">
        <f t="shared" si="103"/>
        <v>5.5413695043991931</v>
      </c>
      <c r="L195" s="3">
        <f t="shared" si="102"/>
        <v>4.6188101054044601</v>
      </c>
      <c r="M195" s="3">
        <f t="shared" si="102"/>
        <v>4.5977051571304806</v>
      </c>
      <c r="N195" s="3">
        <f t="shared" si="102"/>
        <v>-6.8539728734517045</v>
      </c>
      <c r="O195" s="3">
        <f t="shared" si="80"/>
        <v>2.7502220641141983</v>
      </c>
      <c r="P195" s="3">
        <f t="shared" si="81"/>
        <v>0.93992588994814952</v>
      </c>
      <c r="Q195" s="3">
        <f t="shared" si="82"/>
        <v>1.9139917685197463</v>
      </c>
      <c r="R195" s="3">
        <f t="shared" si="83"/>
        <v>0.87146693847492251</v>
      </c>
      <c r="S195" s="3">
        <f t="shared" si="84"/>
        <v>1.4941143626669504</v>
      </c>
      <c r="T195" s="4">
        <f t="shared" si="85"/>
        <v>0.81669501297652169</v>
      </c>
      <c r="U195" s="1">
        <f t="shared" si="105"/>
        <v>1</v>
      </c>
      <c r="V195" s="3">
        <f t="shared" si="87"/>
        <v>0.18330498702347831</v>
      </c>
      <c r="W195" s="3">
        <f t="shared" si="106"/>
        <v>1.6800359133838774E-2</v>
      </c>
      <c r="X195" s="5" t="str">
        <f t="shared" si="101"/>
        <v>PASS</v>
      </c>
      <c r="Y195" s="3">
        <f t="shared" si="107"/>
        <v>2.7441539041641365E-2</v>
      </c>
      <c r="Z195" s="3">
        <f t="shared" si="108"/>
        <v>7.1568107020168765E-3</v>
      </c>
      <c r="AA195" s="3">
        <f t="shared" si="109"/>
        <v>1.413238141010814E-2</v>
      </c>
      <c r="AB195" s="3">
        <f t="shared" si="110"/>
        <v>4.2844343125455318</v>
      </c>
      <c r="AC195" s="3">
        <f t="shared" si="111"/>
        <v>4.4868392332514997</v>
      </c>
      <c r="AD195" s="3">
        <f t="shared" si="112"/>
        <v>-1.700833115627217</v>
      </c>
      <c r="AE195" s="3">
        <f t="shared" si="113"/>
        <v>-3.8612520000329713</v>
      </c>
      <c r="AF195" s="3">
        <f t="shared" si="114"/>
        <v>-3.5920467823541764</v>
      </c>
      <c r="AG195" s="3">
        <f t="shared" si="115"/>
        <v>5.5767004579244634</v>
      </c>
      <c r="AH195" s="3">
        <f t="shared" si="116"/>
        <v>4.6832926379176145</v>
      </c>
      <c r="AI195" s="3">
        <f t="shared" si="117"/>
        <v>4.6574911421696283</v>
      </c>
      <c r="AJ195" s="11">
        <f t="shared" si="118"/>
        <v>-6.7853690258476007</v>
      </c>
    </row>
    <row r="196" spans="1:36" ht="18" customHeight="1" x14ac:dyDescent="0.25">
      <c r="A196" s="18">
        <f t="shared" si="104"/>
        <v>45</v>
      </c>
      <c r="B196" s="2">
        <v>179</v>
      </c>
      <c r="C196" s="2">
        <v>1</v>
      </c>
      <c r="D196" s="2">
        <v>0</v>
      </c>
      <c r="E196" s="2">
        <v>1</v>
      </c>
      <c r="F196" s="3">
        <f t="shared" si="103"/>
        <v>4.2844343125455318</v>
      </c>
      <c r="G196" s="3">
        <f t="shared" si="103"/>
        <v>4.4868392332514997</v>
      </c>
      <c r="H196" s="3">
        <f t="shared" si="103"/>
        <v>-1.700833115627217</v>
      </c>
      <c r="I196" s="3">
        <f t="shared" si="103"/>
        <v>-3.8612520000329713</v>
      </c>
      <c r="J196" s="3">
        <f t="shared" si="103"/>
        <v>-3.5920467823541764</v>
      </c>
      <c r="K196" s="3">
        <f t="shared" si="103"/>
        <v>5.5767004579244634</v>
      </c>
      <c r="L196" s="3">
        <f t="shared" si="102"/>
        <v>4.6832926379176145</v>
      </c>
      <c r="M196" s="3">
        <f t="shared" si="102"/>
        <v>4.6574911421696283</v>
      </c>
      <c r="N196" s="3">
        <f t="shared" si="102"/>
        <v>-6.7853690258476007</v>
      </c>
      <c r="O196" s="3">
        <f t="shared" si="80"/>
        <v>2.5836011969183148</v>
      </c>
      <c r="P196" s="3">
        <f t="shared" si="81"/>
        <v>0.9297986944643053</v>
      </c>
      <c r="Q196" s="3">
        <f t="shared" si="82"/>
        <v>1.7154484578914921</v>
      </c>
      <c r="R196" s="3">
        <f t="shared" si="83"/>
        <v>0.84754163957138429</v>
      </c>
      <c r="S196" s="3">
        <f t="shared" si="84"/>
        <v>1.516568033606136</v>
      </c>
      <c r="T196" s="4">
        <f t="shared" si="85"/>
        <v>0.82003255003221287</v>
      </c>
      <c r="U196" s="1">
        <f t="shared" si="105"/>
        <v>1</v>
      </c>
      <c r="V196" s="3">
        <f t="shared" si="87"/>
        <v>0.17996744996778713</v>
      </c>
      <c r="W196" s="3">
        <f t="shared" si="106"/>
        <v>1.6194141523953983E-2</v>
      </c>
      <c r="X196" s="5" t="str">
        <f t="shared" si="101"/>
        <v>PASS</v>
      </c>
      <c r="Y196" s="3">
        <f t="shared" si="107"/>
        <v>2.6559446338941056E-2</v>
      </c>
      <c r="Z196" s="3">
        <f t="shared" si="108"/>
        <v>8.1190353820326765E-3</v>
      </c>
      <c r="AA196" s="3">
        <f t="shared" si="109"/>
        <v>1.5983921729367689E-2</v>
      </c>
      <c r="AB196" s="3">
        <f t="shared" si="110"/>
        <v>4.3047319010006131</v>
      </c>
      <c r="AC196" s="3">
        <f t="shared" si="111"/>
        <v>4.4868392332514997</v>
      </c>
      <c r="AD196" s="3">
        <f t="shared" si="112"/>
        <v>-1.6805355271721352</v>
      </c>
      <c r="AE196" s="3">
        <f t="shared" si="113"/>
        <v>-3.8212921957095523</v>
      </c>
      <c r="AF196" s="3">
        <f t="shared" si="114"/>
        <v>-3.5920467823541764</v>
      </c>
      <c r="AG196" s="3">
        <f t="shared" si="115"/>
        <v>5.6166602622478825</v>
      </c>
      <c r="AH196" s="3">
        <f t="shared" si="116"/>
        <v>4.7450299842467203</v>
      </c>
      <c r="AI196" s="3">
        <f t="shared" si="117"/>
        <v>4.7137667339101643</v>
      </c>
      <c r="AJ196" s="11">
        <f t="shared" si="118"/>
        <v>-6.7189704100002476</v>
      </c>
    </row>
    <row r="197" spans="1:36" ht="18" customHeight="1" x14ac:dyDescent="0.25">
      <c r="A197" s="18">
        <f t="shared" si="104"/>
        <v>45</v>
      </c>
      <c r="B197" s="2">
        <v>180</v>
      </c>
      <c r="C197" s="2">
        <v>1</v>
      </c>
      <c r="D197" s="2">
        <v>1</v>
      </c>
      <c r="E197" s="2">
        <v>0</v>
      </c>
      <c r="F197" s="3">
        <f t="shared" si="103"/>
        <v>4.3047319010006131</v>
      </c>
      <c r="G197" s="3">
        <f t="shared" si="103"/>
        <v>4.4868392332514997</v>
      </c>
      <c r="H197" s="3">
        <f t="shared" si="103"/>
        <v>-1.6805355271721352</v>
      </c>
      <c r="I197" s="3">
        <f t="shared" si="103"/>
        <v>-3.8212921957095523</v>
      </c>
      <c r="J197" s="3">
        <f t="shared" si="103"/>
        <v>-3.5920467823541764</v>
      </c>
      <c r="K197" s="3">
        <f t="shared" si="103"/>
        <v>5.6166602622478825</v>
      </c>
      <c r="L197" s="3">
        <f t="shared" si="102"/>
        <v>4.7450299842467203</v>
      </c>
      <c r="M197" s="3">
        <f t="shared" si="102"/>
        <v>4.7137667339101643</v>
      </c>
      <c r="N197" s="3">
        <f t="shared" si="102"/>
        <v>-6.7189704100002476</v>
      </c>
      <c r="O197" s="3">
        <f t="shared" si="80"/>
        <v>7.1110356070799776</v>
      </c>
      <c r="P197" s="3">
        <f t="shared" si="81"/>
        <v>0.9991846159459381</v>
      </c>
      <c r="Q197" s="3">
        <f t="shared" si="82"/>
        <v>-1.7966787158158466</v>
      </c>
      <c r="R197" s="3">
        <f t="shared" si="83"/>
        <v>0.14225584375130956</v>
      </c>
      <c r="S197" s="3">
        <f t="shared" si="84"/>
        <v>-1.307248583559482</v>
      </c>
      <c r="T197" s="4">
        <f t="shared" si="85"/>
        <v>0.21294761986804372</v>
      </c>
      <c r="U197" s="1">
        <f t="shared" si="105"/>
        <v>0</v>
      </c>
      <c r="V197" s="3">
        <f t="shared" si="87"/>
        <v>-0.21294761986804372</v>
      </c>
      <c r="W197" s="3">
        <f t="shared" si="106"/>
        <v>2.2673344403732424E-2</v>
      </c>
      <c r="X197" s="5" t="str">
        <f t="shared" si="101"/>
        <v>PASS</v>
      </c>
      <c r="Y197" s="3">
        <f t="shared" si="107"/>
        <v>-3.5690219357018348E-2</v>
      </c>
      <c r="Z197" s="3">
        <f t="shared" si="108"/>
        <v>-1.3797364289579129E-4</v>
      </c>
      <c r="AA197" s="3">
        <f t="shared" si="109"/>
        <v>-2.052793142167289E-2</v>
      </c>
      <c r="AB197" s="3">
        <f t="shared" si="110"/>
        <v>4.3043869668933734</v>
      </c>
      <c r="AC197" s="3">
        <f t="shared" si="111"/>
        <v>4.48649429914426</v>
      </c>
      <c r="AD197" s="3">
        <f t="shared" si="112"/>
        <v>-1.6808804612793746</v>
      </c>
      <c r="AE197" s="3">
        <f t="shared" si="113"/>
        <v>-3.8726120242637343</v>
      </c>
      <c r="AF197" s="3">
        <f t="shared" si="114"/>
        <v>-3.6433666109083584</v>
      </c>
      <c r="AG197" s="3">
        <f t="shared" si="115"/>
        <v>5.5653404336937005</v>
      </c>
      <c r="AH197" s="3">
        <f t="shared" si="116"/>
        <v>4.6558771889435491</v>
      </c>
      <c r="AI197" s="3">
        <f t="shared" si="117"/>
        <v>4.7010738782394093</v>
      </c>
      <c r="AJ197" s="11">
        <f t="shared" si="118"/>
        <v>-6.8081959583927931</v>
      </c>
    </row>
    <row r="198" spans="1:36" ht="18" customHeight="1" x14ac:dyDescent="0.25">
      <c r="A198" s="18">
        <f t="shared" si="104"/>
        <v>46</v>
      </c>
      <c r="B198" s="2">
        <v>181</v>
      </c>
      <c r="C198" s="2">
        <v>0</v>
      </c>
      <c r="D198" s="2">
        <v>0</v>
      </c>
      <c r="E198" s="2">
        <v>0</v>
      </c>
      <c r="F198" s="3">
        <f t="shared" si="103"/>
        <v>4.3043869668933734</v>
      </c>
      <c r="G198" s="3">
        <f t="shared" si="103"/>
        <v>4.48649429914426</v>
      </c>
      <c r="H198" s="3">
        <f t="shared" si="103"/>
        <v>-1.6808804612793746</v>
      </c>
      <c r="I198" s="3">
        <f t="shared" si="103"/>
        <v>-3.8726120242637343</v>
      </c>
      <c r="J198" s="3">
        <f t="shared" si="103"/>
        <v>-3.6433666109083584</v>
      </c>
      <c r="K198" s="3">
        <f t="shared" si="103"/>
        <v>5.5653404336937005</v>
      </c>
      <c r="L198" s="3">
        <f t="shared" si="102"/>
        <v>4.6558771889435491</v>
      </c>
      <c r="M198" s="3">
        <f t="shared" si="102"/>
        <v>4.7010738782394093</v>
      </c>
      <c r="N198" s="3">
        <f t="shared" si="102"/>
        <v>-6.8081959583927931</v>
      </c>
      <c r="O198" s="3">
        <f t="shared" si="80"/>
        <v>-1.6808804612793746</v>
      </c>
      <c r="P198" s="3">
        <f t="shared" si="81"/>
        <v>0.15697891649617066</v>
      </c>
      <c r="Q198" s="3">
        <f t="shared" si="82"/>
        <v>5.5653404336937005</v>
      </c>
      <c r="R198" s="3">
        <f t="shared" si="83"/>
        <v>0.99618632276414987</v>
      </c>
      <c r="S198" s="3">
        <f t="shared" si="84"/>
        <v>-1.3941759021272802</v>
      </c>
      <c r="T198" s="4">
        <f t="shared" si="85"/>
        <v>0.19874193459947195</v>
      </c>
      <c r="U198" s="1">
        <f t="shared" si="105"/>
        <v>0</v>
      </c>
      <c r="V198" s="3">
        <f t="shared" si="87"/>
        <v>-0.19874193459947195</v>
      </c>
      <c r="W198" s="3">
        <f t="shared" si="106"/>
        <v>1.9749178284170395E-2</v>
      </c>
      <c r="X198" s="5" t="str">
        <f t="shared" si="101"/>
        <v>PASS</v>
      </c>
      <c r="Y198" s="3">
        <f t="shared" si="107"/>
        <v>-3.1648376770448981E-2</v>
      </c>
      <c r="Z198" s="3">
        <f t="shared" si="108"/>
        <v>-1.949991506359602E-2</v>
      </c>
      <c r="AA198" s="3">
        <f t="shared" si="109"/>
        <v>-5.6524017953988594E-4</v>
      </c>
      <c r="AB198" s="3">
        <f t="shared" si="110"/>
        <v>4.3043869668933734</v>
      </c>
      <c r="AC198" s="3">
        <f t="shared" si="111"/>
        <v>4.48649429914426</v>
      </c>
      <c r="AD198" s="3">
        <f t="shared" si="112"/>
        <v>-1.7296302489383646</v>
      </c>
      <c r="AE198" s="3">
        <f t="shared" si="113"/>
        <v>-3.8726120242637343</v>
      </c>
      <c r="AF198" s="3">
        <f t="shared" si="114"/>
        <v>-3.6433666109083584</v>
      </c>
      <c r="AG198" s="3">
        <f t="shared" si="115"/>
        <v>5.5639273332448509</v>
      </c>
      <c r="AH198" s="3">
        <f t="shared" si="116"/>
        <v>4.6434568692078297</v>
      </c>
      <c r="AI198" s="3">
        <f t="shared" si="117"/>
        <v>4.6222546780483897</v>
      </c>
      <c r="AJ198" s="11">
        <f t="shared" si="118"/>
        <v>-6.8873169003189156</v>
      </c>
    </row>
    <row r="199" spans="1:36" ht="18" customHeight="1" x14ac:dyDescent="0.25">
      <c r="A199" s="18">
        <f t="shared" si="104"/>
        <v>46</v>
      </c>
      <c r="B199" s="2">
        <v>182</v>
      </c>
      <c r="C199" s="2">
        <v>0</v>
      </c>
      <c r="D199" s="2">
        <v>1</v>
      </c>
      <c r="E199" s="2">
        <v>1</v>
      </c>
      <c r="F199" s="3">
        <f t="shared" si="103"/>
        <v>4.3043869668933734</v>
      </c>
      <c r="G199" s="3">
        <f t="shared" si="103"/>
        <v>4.48649429914426</v>
      </c>
      <c r="H199" s="3">
        <f t="shared" si="103"/>
        <v>-1.7296302489383646</v>
      </c>
      <c r="I199" s="3">
        <f t="shared" si="103"/>
        <v>-3.8726120242637343</v>
      </c>
      <c r="J199" s="3">
        <f t="shared" si="103"/>
        <v>-3.6433666109083584</v>
      </c>
      <c r="K199" s="3">
        <f t="shared" si="103"/>
        <v>5.5639273332448509</v>
      </c>
      <c r="L199" s="3">
        <f t="shared" si="102"/>
        <v>4.6434568692078297</v>
      </c>
      <c r="M199" s="3">
        <f t="shared" si="102"/>
        <v>4.6222546780483897</v>
      </c>
      <c r="N199" s="3">
        <f t="shared" si="102"/>
        <v>-6.8873169003189156</v>
      </c>
      <c r="O199" s="3">
        <f t="shared" si="80"/>
        <v>2.7568640502058956</v>
      </c>
      <c r="P199" s="3">
        <f t="shared" si="81"/>
        <v>0.94029983705528819</v>
      </c>
      <c r="Q199" s="3">
        <f t="shared" si="82"/>
        <v>1.9205607223364924</v>
      </c>
      <c r="R199" s="3">
        <f t="shared" si="83"/>
        <v>0.87220094845671048</v>
      </c>
      <c r="S199" s="3">
        <f t="shared" si="84"/>
        <v>1.5104597513727382</v>
      </c>
      <c r="T199" s="4">
        <f t="shared" si="85"/>
        <v>0.81912933198220605</v>
      </c>
      <c r="U199" s="1">
        <f t="shared" si="105"/>
        <v>1</v>
      </c>
      <c r="V199" s="3">
        <f t="shared" si="87"/>
        <v>0.18087066801779395</v>
      </c>
      <c r="W199" s="3">
        <f t="shared" si="106"/>
        <v>1.6357099274601515E-2</v>
      </c>
      <c r="X199" s="5" t="str">
        <f t="shared" si="101"/>
        <v>PASS</v>
      </c>
      <c r="Y199" s="3">
        <f t="shared" si="107"/>
        <v>2.6797159603941936E-2</v>
      </c>
      <c r="Z199" s="3">
        <f t="shared" si="108"/>
        <v>6.9850908045210984E-3</v>
      </c>
      <c r="AA199" s="3">
        <f t="shared" si="109"/>
        <v>1.3806602419545047E-2</v>
      </c>
      <c r="AB199" s="3">
        <f t="shared" si="110"/>
        <v>4.3043869668933734</v>
      </c>
      <c r="AC199" s="3">
        <f t="shared" si="111"/>
        <v>4.5039570261555628</v>
      </c>
      <c r="AD199" s="3">
        <f t="shared" si="112"/>
        <v>-1.7121675219270618</v>
      </c>
      <c r="AE199" s="3">
        <f t="shared" si="113"/>
        <v>-3.8726120242637343</v>
      </c>
      <c r="AF199" s="3">
        <f t="shared" si="114"/>
        <v>-3.6088501048594956</v>
      </c>
      <c r="AG199" s="3">
        <f t="shared" si="115"/>
        <v>5.5984438392937133</v>
      </c>
      <c r="AH199" s="3">
        <f t="shared" si="116"/>
        <v>4.7064502812306577</v>
      </c>
      <c r="AI199" s="3">
        <f t="shared" si="117"/>
        <v>4.6806859481046494</v>
      </c>
      <c r="AJ199" s="11">
        <f t="shared" si="118"/>
        <v>-6.8203240013090607</v>
      </c>
    </row>
    <row r="200" spans="1:36" ht="18" customHeight="1" x14ac:dyDescent="0.25">
      <c r="A200" s="18">
        <f t="shared" si="104"/>
        <v>46</v>
      </c>
      <c r="B200" s="2">
        <v>183</v>
      </c>
      <c r="C200" s="2">
        <v>1</v>
      </c>
      <c r="D200" s="2">
        <v>0</v>
      </c>
      <c r="E200" s="2">
        <v>1</v>
      </c>
      <c r="F200" s="3">
        <f t="shared" si="103"/>
        <v>4.3043869668933734</v>
      </c>
      <c r="G200" s="3">
        <f t="shared" si="103"/>
        <v>4.5039570261555628</v>
      </c>
      <c r="H200" s="3">
        <f t="shared" si="103"/>
        <v>-1.7121675219270618</v>
      </c>
      <c r="I200" s="3">
        <f t="shared" si="103"/>
        <v>-3.8726120242637343</v>
      </c>
      <c r="J200" s="3">
        <f t="shared" si="103"/>
        <v>-3.6088501048594956</v>
      </c>
      <c r="K200" s="3">
        <f t="shared" si="103"/>
        <v>5.5984438392937133</v>
      </c>
      <c r="L200" s="3">
        <f t="shared" si="102"/>
        <v>4.7064502812306577</v>
      </c>
      <c r="M200" s="3">
        <f t="shared" si="102"/>
        <v>4.6806859481046494</v>
      </c>
      <c r="N200" s="3">
        <f t="shared" si="102"/>
        <v>-6.8203240013090607</v>
      </c>
      <c r="O200" s="3">
        <f t="shared" si="80"/>
        <v>2.5922194449663118</v>
      </c>
      <c r="P200" s="3">
        <f t="shared" si="81"/>
        <v>0.93035915460191976</v>
      </c>
      <c r="Q200" s="3">
        <f t="shared" si="82"/>
        <v>1.725831815029979</v>
      </c>
      <c r="R200" s="3">
        <f t="shared" si="83"/>
        <v>0.84887848685490308</v>
      </c>
      <c r="S200" s="3">
        <f t="shared" si="84"/>
        <v>1.5316987085827449</v>
      </c>
      <c r="T200" s="4">
        <f t="shared" si="85"/>
        <v>0.82225471961491037</v>
      </c>
      <c r="U200" s="1">
        <f t="shared" si="105"/>
        <v>1</v>
      </c>
      <c r="V200" s="3">
        <f t="shared" si="87"/>
        <v>0.17774528038508963</v>
      </c>
      <c r="W200" s="3">
        <f t="shared" si="106"/>
        <v>1.5796692349587065E-2</v>
      </c>
      <c r="X200" s="5" t="str">
        <f t="shared" si="101"/>
        <v>PASS</v>
      </c>
      <c r="Y200" s="3">
        <f t="shared" si="107"/>
        <v>2.5977809677505421E-2</v>
      </c>
      <c r="Z200" s="3">
        <f t="shared" si="108"/>
        <v>7.9215592663257825E-3</v>
      </c>
      <c r="AA200" s="3">
        <f t="shared" si="109"/>
        <v>1.5598536535914647E-2</v>
      </c>
      <c r="AB200" s="3">
        <f t="shared" si="110"/>
        <v>4.3241908650591876</v>
      </c>
      <c r="AC200" s="3">
        <f t="shared" si="111"/>
        <v>4.5039570261555628</v>
      </c>
      <c r="AD200" s="3">
        <f t="shared" si="112"/>
        <v>-1.6923636237612474</v>
      </c>
      <c r="AE200" s="3">
        <f t="shared" si="113"/>
        <v>-3.8336156829239476</v>
      </c>
      <c r="AF200" s="3">
        <f t="shared" si="114"/>
        <v>-3.6088501048594956</v>
      </c>
      <c r="AG200" s="3">
        <f t="shared" si="115"/>
        <v>5.6374401806334999</v>
      </c>
      <c r="AH200" s="3">
        <f t="shared" si="116"/>
        <v>4.7668720138555916</v>
      </c>
      <c r="AI200" s="3">
        <f t="shared" si="117"/>
        <v>4.7358159575317629</v>
      </c>
      <c r="AJ200" s="11">
        <f t="shared" si="118"/>
        <v>-6.7553794771152971</v>
      </c>
    </row>
    <row r="201" spans="1:36" ht="18" customHeight="1" x14ac:dyDescent="0.25">
      <c r="A201" s="18">
        <f t="shared" si="104"/>
        <v>46</v>
      </c>
      <c r="B201" s="2">
        <v>184</v>
      </c>
      <c r="C201" s="2">
        <v>1</v>
      </c>
      <c r="D201" s="2">
        <v>1</v>
      </c>
      <c r="E201" s="2">
        <v>0</v>
      </c>
      <c r="F201" s="3">
        <f t="shared" si="103"/>
        <v>4.3241908650591876</v>
      </c>
      <c r="G201" s="3">
        <f t="shared" si="103"/>
        <v>4.5039570261555628</v>
      </c>
      <c r="H201" s="3">
        <f t="shared" si="103"/>
        <v>-1.6923636237612474</v>
      </c>
      <c r="I201" s="3">
        <f t="shared" si="103"/>
        <v>-3.8336156829239476</v>
      </c>
      <c r="J201" s="3">
        <f t="shared" si="103"/>
        <v>-3.6088501048594956</v>
      </c>
      <c r="K201" s="3">
        <f t="shared" si="103"/>
        <v>5.6374401806334999</v>
      </c>
      <c r="L201" s="3">
        <f t="shared" si="102"/>
        <v>4.7668720138555916</v>
      </c>
      <c r="M201" s="3">
        <f t="shared" si="102"/>
        <v>4.7358159575317629</v>
      </c>
      <c r="N201" s="3">
        <f t="shared" si="102"/>
        <v>-6.7553794771152971</v>
      </c>
      <c r="O201" s="3">
        <f t="shared" si="80"/>
        <v>7.1357842674535039</v>
      </c>
      <c r="P201" s="3">
        <f t="shared" si="81"/>
        <v>0.99920453209119764</v>
      </c>
      <c r="Q201" s="3">
        <f t="shared" si="82"/>
        <v>-1.8050256071499433</v>
      </c>
      <c r="R201" s="3">
        <f t="shared" si="83"/>
        <v>0.14124040148562134</v>
      </c>
      <c r="S201" s="3">
        <f t="shared" si="84"/>
        <v>-1.3234108097682968</v>
      </c>
      <c r="T201" s="4">
        <f t="shared" si="85"/>
        <v>0.21025138333381577</v>
      </c>
      <c r="U201" s="1">
        <f t="shared" si="105"/>
        <v>0</v>
      </c>
      <c r="V201" s="3">
        <f t="shared" si="87"/>
        <v>-0.21025138333381577</v>
      </c>
      <c r="W201" s="3">
        <f t="shared" si="106"/>
        <v>2.2102822096891572E-2</v>
      </c>
      <c r="X201" s="5" t="str">
        <f t="shared" si="101"/>
        <v>PASS</v>
      </c>
      <c r="Y201" s="3">
        <f t="shared" si="107"/>
        <v>-3.4911346350877774E-2</v>
      </c>
      <c r="Z201" s="3">
        <f t="shared" si="108"/>
        <v>-1.3227481058594766E-4</v>
      </c>
      <c r="AA201" s="3">
        <f t="shared" si="109"/>
        <v>-2.0053582170656475E-2</v>
      </c>
      <c r="AB201" s="3">
        <f t="shared" si="110"/>
        <v>4.3238601780327226</v>
      </c>
      <c r="AC201" s="3">
        <f t="shared" si="111"/>
        <v>4.5036263391290978</v>
      </c>
      <c r="AD201" s="3">
        <f t="shared" si="112"/>
        <v>-1.6926943107877122</v>
      </c>
      <c r="AE201" s="3">
        <f t="shared" si="113"/>
        <v>-3.8837496383505887</v>
      </c>
      <c r="AF201" s="3">
        <f t="shared" si="114"/>
        <v>-3.6589840602861368</v>
      </c>
      <c r="AG201" s="3">
        <f t="shared" si="115"/>
        <v>5.5873062252068584</v>
      </c>
      <c r="AH201" s="3">
        <f t="shared" si="116"/>
        <v>4.6796630751175847</v>
      </c>
      <c r="AI201" s="3">
        <f t="shared" si="117"/>
        <v>4.7234887260942591</v>
      </c>
      <c r="AJ201" s="11">
        <f t="shared" si="118"/>
        <v>-6.8426578429924918</v>
      </c>
    </row>
    <row r="202" spans="1:36" ht="18" customHeight="1" x14ac:dyDescent="0.25">
      <c r="A202" s="18">
        <f t="shared" si="104"/>
        <v>47</v>
      </c>
      <c r="B202" s="2">
        <v>185</v>
      </c>
      <c r="C202" s="2">
        <v>0</v>
      </c>
      <c r="D202" s="2">
        <v>0</v>
      </c>
      <c r="E202" s="2">
        <v>0</v>
      </c>
      <c r="F202" s="3">
        <f t="shared" si="103"/>
        <v>4.3238601780327226</v>
      </c>
      <c r="G202" s="3">
        <f t="shared" si="103"/>
        <v>4.5036263391290978</v>
      </c>
      <c r="H202" s="3">
        <f t="shared" si="103"/>
        <v>-1.6926943107877122</v>
      </c>
      <c r="I202" s="3">
        <f t="shared" si="103"/>
        <v>-3.8837496383505887</v>
      </c>
      <c r="J202" s="3">
        <f t="shared" si="103"/>
        <v>-3.6589840602861368</v>
      </c>
      <c r="K202" s="3">
        <f t="shared" si="103"/>
        <v>5.5873062252068584</v>
      </c>
      <c r="L202" s="3">
        <f t="shared" si="102"/>
        <v>4.6796630751175847</v>
      </c>
      <c r="M202" s="3">
        <f t="shared" si="102"/>
        <v>4.7234887260942591</v>
      </c>
      <c r="N202" s="3">
        <f t="shared" si="102"/>
        <v>-6.8426578429924918</v>
      </c>
      <c r="O202" s="3">
        <f t="shared" si="80"/>
        <v>-1.6926943107877122</v>
      </c>
      <c r="P202" s="3">
        <f t="shared" si="81"/>
        <v>0.15542184057548275</v>
      </c>
      <c r="Q202" s="3">
        <f t="shared" si="82"/>
        <v>5.5873062252068584</v>
      </c>
      <c r="R202" s="3">
        <f t="shared" si="83"/>
        <v>0.99626887071032344</v>
      </c>
      <c r="S202" s="3">
        <f t="shared" si="84"/>
        <v>-1.4094712156257216</v>
      </c>
      <c r="T202" s="4">
        <f t="shared" si="85"/>
        <v>0.19631747293996354</v>
      </c>
      <c r="U202" s="1">
        <f t="shared" si="105"/>
        <v>0</v>
      </c>
      <c r="V202" s="3">
        <f t="shared" si="87"/>
        <v>-0.19631747293996354</v>
      </c>
      <c r="W202" s="3">
        <f t="shared" si="106"/>
        <v>1.9270275090766658E-2</v>
      </c>
      <c r="X202" s="5" t="str">
        <f t="shared" si="101"/>
        <v>PASS</v>
      </c>
      <c r="Y202" s="3">
        <f t="shared" si="107"/>
        <v>-3.0974366764178845E-2</v>
      </c>
      <c r="Z202" s="3">
        <f t="shared" si="108"/>
        <v>-1.90269386012701E-2</v>
      </c>
      <c r="AA202" s="3">
        <f t="shared" si="109"/>
        <v>-5.4385381398839715E-4</v>
      </c>
      <c r="AB202" s="3">
        <f t="shared" si="110"/>
        <v>4.3238601780327226</v>
      </c>
      <c r="AC202" s="3">
        <f t="shared" si="111"/>
        <v>4.5036263391290978</v>
      </c>
      <c r="AD202" s="3">
        <f t="shared" si="112"/>
        <v>-1.7402616572908873</v>
      </c>
      <c r="AE202" s="3">
        <f t="shared" si="113"/>
        <v>-3.8837496383505887</v>
      </c>
      <c r="AF202" s="3">
        <f t="shared" si="114"/>
        <v>-3.6589840602861368</v>
      </c>
      <c r="AG202" s="3">
        <f t="shared" si="115"/>
        <v>5.5859465906718873</v>
      </c>
      <c r="AH202" s="3">
        <f t="shared" si="116"/>
        <v>4.6676278423847126</v>
      </c>
      <c r="AI202" s="3">
        <f t="shared" si="117"/>
        <v>4.6463417326014698</v>
      </c>
      <c r="AJ202" s="11">
        <f t="shared" si="118"/>
        <v>-6.9200937599029393</v>
      </c>
    </row>
    <row r="203" spans="1:36" ht="18" customHeight="1" x14ac:dyDescent="0.25">
      <c r="A203" s="18">
        <f t="shared" si="104"/>
        <v>47</v>
      </c>
      <c r="B203" s="2">
        <v>186</v>
      </c>
      <c r="C203" s="2">
        <v>0</v>
      </c>
      <c r="D203" s="2">
        <v>1</v>
      </c>
      <c r="E203" s="2">
        <v>1</v>
      </c>
      <c r="F203" s="3">
        <f t="shared" si="103"/>
        <v>4.3238601780327226</v>
      </c>
      <c r="G203" s="3">
        <f t="shared" si="103"/>
        <v>4.5036263391290978</v>
      </c>
      <c r="H203" s="3">
        <f t="shared" si="103"/>
        <v>-1.7402616572908873</v>
      </c>
      <c r="I203" s="3">
        <f t="shared" si="103"/>
        <v>-3.8837496383505887</v>
      </c>
      <c r="J203" s="3">
        <f t="shared" si="103"/>
        <v>-3.6589840602861368</v>
      </c>
      <c r="K203" s="3">
        <f t="shared" si="103"/>
        <v>5.5859465906718873</v>
      </c>
      <c r="L203" s="3">
        <f t="shared" si="102"/>
        <v>4.6676278423847126</v>
      </c>
      <c r="M203" s="3">
        <f t="shared" si="102"/>
        <v>4.6463417326014698</v>
      </c>
      <c r="N203" s="3">
        <f t="shared" si="102"/>
        <v>-6.9200937599029393</v>
      </c>
      <c r="O203" s="3">
        <f t="shared" si="80"/>
        <v>2.7633646818382105</v>
      </c>
      <c r="P203" s="3">
        <f t="shared" si="81"/>
        <v>0.94066371408025107</v>
      </c>
      <c r="Q203" s="3">
        <f t="shared" si="82"/>
        <v>1.9269625303857505</v>
      </c>
      <c r="R203" s="3">
        <f t="shared" si="83"/>
        <v>0.87291283660973817</v>
      </c>
      <c r="S203" s="3">
        <f t="shared" si="84"/>
        <v>1.5264257239224071</v>
      </c>
      <c r="T203" s="4">
        <f t="shared" si="85"/>
        <v>0.82148275293965844</v>
      </c>
      <c r="U203" s="1">
        <f t="shared" si="105"/>
        <v>1</v>
      </c>
      <c r="V203" s="3">
        <f t="shared" si="87"/>
        <v>0.17851724706034156</v>
      </c>
      <c r="W203" s="3">
        <f t="shared" si="106"/>
        <v>1.5934203749001511E-2</v>
      </c>
      <c r="X203" s="5" t="str">
        <f t="shared" si="101"/>
        <v>PASS</v>
      </c>
      <c r="Y203" s="3">
        <f t="shared" si="107"/>
        <v>2.6179347123262382E-2</v>
      </c>
      <c r="Z203" s="3">
        <f t="shared" si="108"/>
        <v>6.8203990247347043E-3</v>
      </c>
      <c r="AA203" s="3">
        <f t="shared" si="109"/>
        <v>1.3494056568223053E-2</v>
      </c>
      <c r="AB203" s="3">
        <f t="shared" si="110"/>
        <v>4.3238601780327226</v>
      </c>
      <c r="AC203" s="3">
        <f t="shared" si="111"/>
        <v>4.5206773366909347</v>
      </c>
      <c r="AD203" s="3">
        <f t="shared" si="112"/>
        <v>-1.7232106597290506</v>
      </c>
      <c r="AE203" s="3">
        <f t="shared" si="113"/>
        <v>-3.8837496383505887</v>
      </c>
      <c r="AF203" s="3">
        <f t="shared" si="114"/>
        <v>-3.6252489188655792</v>
      </c>
      <c r="AG203" s="3">
        <f t="shared" si="115"/>
        <v>5.6196817320924453</v>
      </c>
      <c r="AH203" s="3">
        <f t="shared" si="116"/>
        <v>4.7291927471276232</v>
      </c>
      <c r="AI203" s="3">
        <f t="shared" si="117"/>
        <v>4.7034724529963645</v>
      </c>
      <c r="AJ203" s="11">
        <f t="shared" si="118"/>
        <v>-6.854645392094783</v>
      </c>
    </row>
    <row r="204" spans="1:36" ht="18" customHeight="1" x14ac:dyDescent="0.25">
      <c r="A204" s="18">
        <f t="shared" si="104"/>
        <v>47</v>
      </c>
      <c r="B204" s="2">
        <v>187</v>
      </c>
      <c r="C204" s="2">
        <v>1</v>
      </c>
      <c r="D204" s="2">
        <v>0</v>
      </c>
      <c r="E204" s="2">
        <v>1</v>
      </c>
      <c r="F204" s="3">
        <f t="shared" si="103"/>
        <v>4.3238601780327226</v>
      </c>
      <c r="G204" s="3">
        <f t="shared" si="103"/>
        <v>4.5206773366909347</v>
      </c>
      <c r="H204" s="3">
        <f t="shared" si="103"/>
        <v>-1.7232106597290506</v>
      </c>
      <c r="I204" s="3">
        <f t="shared" si="103"/>
        <v>-3.8837496383505887</v>
      </c>
      <c r="J204" s="3">
        <f t="shared" si="103"/>
        <v>-3.6252489188655792</v>
      </c>
      <c r="K204" s="3">
        <f t="shared" si="103"/>
        <v>5.6196817320924453</v>
      </c>
      <c r="L204" s="3">
        <f t="shared" si="102"/>
        <v>4.7291927471276232</v>
      </c>
      <c r="M204" s="3">
        <f t="shared" si="102"/>
        <v>4.7034724529963645</v>
      </c>
      <c r="N204" s="3">
        <f t="shared" si="102"/>
        <v>-6.854645392094783</v>
      </c>
      <c r="O204" s="3">
        <f t="shared" si="80"/>
        <v>2.6006495183036717</v>
      </c>
      <c r="P204" s="3">
        <f t="shared" si="81"/>
        <v>0.93090336985340161</v>
      </c>
      <c r="Q204" s="3">
        <f t="shared" si="82"/>
        <v>1.7359320937418565</v>
      </c>
      <c r="R204" s="3">
        <f t="shared" si="83"/>
        <v>0.85016962834141951</v>
      </c>
      <c r="S204" s="3">
        <f t="shared" si="84"/>
        <v>1.5465255001706115</v>
      </c>
      <c r="T204" s="4">
        <f t="shared" si="85"/>
        <v>0.82441133946706568</v>
      </c>
      <c r="U204" s="1">
        <f t="shared" si="105"/>
        <v>1</v>
      </c>
      <c r="V204" s="3">
        <f t="shared" si="87"/>
        <v>0.17558866053293432</v>
      </c>
      <c r="W204" s="3">
        <f t="shared" si="106"/>
        <v>1.5415688853875023E-2</v>
      </c>
      <c r="X204" s="5" t="str">
        <f t="shared" si="101"/>
        <v>PASS</v>
      </c>
      <c r="Y204" s="3">
        <f t="shared" si="107"/>
        <v>2.5417737393661242E-2</v>
      </c>
      <c r="Z204" s="3">
        <f t="shared" si="108"/>
        <v>7.731884769881632E-3</v>
      </c>
      <c r="AA204" s="3">
        <f t="shared" si="109"/>
        <v>1.5228633544224147E-2</v>
      </c>
      <c r="AB204" s="3">
        <f t="shared" si="110"/>
        <v>4.3431898899574266</v>
      </c>
      <c r="AC204" s="3">
        <f t="shared" si="111"/>
        <v>4.5206773366909347</v>
      </c>
      <c r="AD204" s="3">
        <f t="shared" si="112"/>
        <v>-1.7038809478043466</v>
      </c>
      <c r="AE204" s="3">
        <f t="shared" si="113"/>
        <v>-3.8456780544900284</v>
      </c>
      <c r="AF204" s="3">
        <f t="shared" si="114"/>
        <v>-3.6252489188655792</v>
      </c>
      <c r="AG204" s="3">
        <f t="shared" si="115"/>
        <v>5.6577533159530056</v>
      </c>
      <c r="AH204" s="3">
        <f t="shared" si="116"/>
        <v>4.7883463906121433</v>
      </c>
      <c r="AI204" s="3">
        <f t="shared" si="117"/>
        <v>4.7574959238794863</v>
      </c>
      <c r="AJ204" s="11">
        <f t="shared" si="118"/>
        <v>-6.7911010486106296</v>
      </c>
    </row>
    <row r="205" spans="1:36" ht="18" customHeight="1" x14ac:dyDescent="0.25">
      <c r="A205" s="18">
        <f t="shared" si="104"/>
        <v>47</v>
      </c>
      <c r="B205" s="2">
        <v>188</v>
      </c>
      <c r="C205" s="2">
        <v>1</v>
      </c>
      <c r="D205" s="2">
        <v>1</v>
      </c>
      <c r="E205" s="2">
        <v>0</v>
      </c>
      <c r="F205" s="3">
        <f t="shared" si="103"/>
        <v>4.3431898899574266</v>
      </c>
      <c r="G205" s="3">
        <f t="shared" si="103"/>
        <v>4.5206773366909347</v>
      </c>
      <c r="H205" s="3">
        <f t="shared" si="103"/>
        <v>-1.7038809478043466</v>
      </c>
      <c r="I205" s="3">
        <f t="shared" si="103"/>
        <v>-3.8456780544900284</v>
      </c>
      <c r="J205" s="3">
        <f t="shared" si="103"/>
        <v>-3.6252489188655792</v>
      </c>
      <c r="K205" s="3">
        <f t="shared" si="103"/>
        <v>5.6577533159530056</v>
      </c>
      <c r="L205" s="3">
        <f t="shared" si="103"/>
        <v>4.7883463906121433</v>
      </c>
      <c r="M205" s="3">
        <f t="shared" si="103"/>
        <v>4.7574959238794863</v>
      </c>
      <c r="N205" s="3">
        <f t="shared" si="103"/>
        <v>-6.7911010486106296</v>
      </c>
      <c r="O205" s="3">
        <f t="shared" si="80"/>
        <v>7.1599862788440145</v>
      </c>
      <c r="P205" s="3">
        <f t="shared" si="81"/>
        <v>0.99922353814612019</v>
      </c>
      <c r="Q205" s="3">
        <f t="shared" si="82"/>
        <v>-1.8131736574026025</v>
      </c>
      <c r="R205" s="3">
        <f t="shared" si="83"/>
        <v>0.14025499781232001</v>
      </c>
      <c r="S205" s="3">
        <f t="shared" si="84"/>
        <v>-1.3392100459181204</v>
      </c>
      <c r="T205" s="4">
        <f t="shared" si="85"/>
        <v>0.20763999623521456</v>
      </c>
      <c r="U205" s="1">
        <f t="shared" si="105"/>
        <v>0</v>
      </c>
      <c r="V205" s="3">
        <f t="shared" si="87"/>
        <v>-0.20763999623521456</v>
      </c>
      <c r="W205" s="3">
        <f t="shared" si="106"/>
        <v>2.1557184018279957E-2</v>
      </c>
      <c r="X205" s="5" t="str">
        <f t="shared" si="101"/>
        <v>PASS</v>
      </c>
      <c r="Y205" s="3">
        <f t="shared" si="107"/>
        <v>-3.4162100819764958E-2</v>
      </c>
      <c r="Z205" s="3">
        <f t="shared" si="108"/>
        <v>-1.2691498721601778E-4</v>
      </c>
      <c r="AA205" s="3">
        <f t="shared" si="109"/>
        <v>-1.9597966030000136E-2</v>
      </c>
      <c r="AB205" s="3">
        <f t="shared" si="110"/>
        <v>4.3428726024893862</v>
      </c>
      <c r="AC205" s="3">
        <f t="shared" si="111"/>
        <v>4.5203600492228944</v>
      </c>
      <c r="AD205" s="3">
        <f t="shared" si="112"/>
        <v>-1.7041982352723866</v>
      </c>
      <c r="AE205" s="3">
        <f t="shared" si="113"/>
        <v>-3.8946729695650286</v>
      </c>
      <c r="AF205" s="3">
        <f t="shared" si="114"/>
        <v>-3.6742438339405794</v>
      </c>
      <c r="AG205" s="3">
        <f t="shared" si="115"/>
        <v>5.6087584008780054</v>
      </c>
      <c r="AH205" s="3">
        <f t="shared" si="116"/>
        <v>4.7030074524830683</v>
      </c>
      <c r="AI205" s="3">
        <f t="shared" si="117"/>
        <v>4.7455174104401356</v>
      </c>
      <c r="AJ205" s="11">
        <f t="shared" si="118"/>
        <v>-6.8765063006600418</v>
      </c>
    </row>
    <row r="206" spans="1:36" ht="18" customHeight="1" x14ac:dyDescent="0.25">
      <c r="A206" s="18">
        <f t="shared" si="104"/>
        <v>48</v>
      </c>
      <c r="B206" s="2">
        <v>189</v>
      </c>
      <c r="C206" s="2">
        <v>0</v>
      </c>
      <c r="D206" s="2">
        <v>0</v>
      </c>
      <c r="E206" s="2">
        <v>0</v>
      </c>
      <c r="F206" s="3">
        <f t="shared" ref="F206:N217" si="119">AB205</f>
        <v>4.3428726024893862</v>
      </c>
      <c r="G206" s="3">
        <f t="shared" si="119"/>
        <v>4.5203600492228944</v>
      </c>
      <c r="H206" s="3">
        <f t="shared" si="119"/>
        <v>-1.7041982352723866</v>
      </c>
      <c r="I206" s="3">
        <f t="shared" si="119"/>
        <v>-3.8946729695650286</v>
      </c>
      <c r="J206" s="3">
        <f t="shared" si="119"/>
        <v>-3.6742438339405794</v>
      </c>
      <c r="K206" s="3">
        <f t="shared" si="119"/>
        <v>5.6087584008780054</v>
      </c>
      <c r="L206" s="3">
        <f t="shared" si="119"/>
        <v>4.7030074524830683</v>
      </c>
      <c r="M206" s="3">
        <f t="shared" si="119"/>
        <v>4.7455174104401356</v>
      </c>
      <c r="N206" s="3">
        <f t="shared" si="119"/>
        <v>-6.8765063006600418</v>
      </c>
      <c r="O206" s="3">
        <f t="shared" si="80"/>
        <v>-1.7041982352723866</v>
      </c>
      <c r="P206" s="3">
        <f t="shared" si="81"/>
        <v>0.15391774648427273</v>
      </c>
      <c r="Q206" s="3">
        <f t="shared" si="82"/>
        <v>5.6087584008780054</v>
      </c>
      <c r="R206" s="3">
        <f t="shared" si="83"/>
        <v>0.99634776991816265</v>
      </c>
      <c r="S206" s="3">
        <f t="shared" si="84"/>
        <v>-1.4244443028752638</v>
      </c>
      <c r="T206" s="4">
        <f t="shared" si="85"/>
        <v>0.1939658024436558</v>
      </c>
      <c r="U206" s="1">
        <f t="shared" si="105"/>
        <v>0</v>
      </c>
      <c r="V206" s="3">
        <f t="shared" si="87"/>
        <v>-0.1939658024436558</v>
      </c>
      <c r="W206" s="3">
        <f t="shared" si="106"/>
        <v>1.8811366258805653E-2</v>
      </c>
      <c r="X206" s="5" t="str">
        <f t="shared" si="101"/>
        <v>PASS</v>
      </c>
      <c r="Y206" s="3">
        <f t="shared" si="107"/>
        <v>-3.0325209014709809E-2</v>
      </c>
      <c r="Z206" s="3">
        <f t="shared" si="108"/>
        <v>-1.8572944113067175E-2</v>
      </c>
      <c r="AA206" s="3">
        <f t="shared" si="109"/>
        <v>-5.2366850668246706E-4</v>
      </c>
      <c r="AB206" s="3">
        <f t="shared" si="110"/>
        <v>4.3428726024893862</v>
      </c>
      <c r="AC206" s="3">
        <f t="shared" si="111"/>
        <v>4.5203600492228944</v>
      </c>
      <c r="AD206" s="3">
        <f t="shared" si="112"/>
        <v>-1.7506305955550545</v>
      </c>
      <c r="AE206" s="3">
        <f t="shared" si="113"/>
        <v>-3.8946729695650286</v>
      </c>
      <c r="AF206" s="3">
        <f t="shared" si="114"/>
        <v>-3.6742438339405794</v>
      </c>
      <c r="AG206" s="3">
        <f t="shared" si="115"/>
        <v>5.6074492296112988</v>
      </c>
      <c r="AH206" s="3">
        <f t="shared" si="116"/>
        <v>4.6913384829000462</v>
      </c>
      <c r="AI206" s="3">
        <f t="shared" si="117"/>
        <v>4.669981274504865</v>
      </c>
      <c r="AJ206" s="11">
        <f t="shared" si="118"/>
        <v>-6.9523193231968161</v>
      </c>
    </row>
    <row r="207" spans="1:36" ht="18" customHeight="1" x14ac:dyDescent="0.25">
      <c r="A207" s="18">
        <f t="shared" si="104"/>
        <v>48</v>
      </c>
      <c r="B207" s="2">
        <v>190</v>
      </c>
      <c r="C207" s="2">
        <v>0</v>
      </c>
      <c r="D207" s="2">
        <v>1</v>
      </c>
      <c r="E207" s="2">
        <v>1</v>
      </c>
      <c r="F207" s="3">
        <f t="shared" si="119"/>
        <v>4.3428726024893862</v>
      </c>
      <c r="G207" s="3">
        <f t="shared" si="119"/>
        <v>4.5203600492228944</v>
      </c>
      <c r="H207" s="3">
        <f t="shared" si="119"/>
        <v>-1.7506305955550545</v>
      </c>
      <c r="I207" s="3">
        <f t="shared" si="119"/>
        <v>-3.8946729695650286</v>
      </c>
      <c r="J207" s="3">
        <f t="shared" si="119"/>
        <v>-3.6742438339405794</v>
      </c>
      <c r="K207" s="3">
        <f t="shared" si="119"/>
        <v>5.6074492296112988</v>
      </c>
      <c r="L207" s="3">
        <f t="shared" si="119"/>
        <v>4.6913384829000462</v>
      </c>
      <c r="M207" s="3">
        <f t="shared" si="119"/>
        <v>4.669981274504865</v>
      </c>
      <c r="N207" s="3">
        <f t="shared" si="119"/>
        <v>-6.9523193231968161</v>
      </c>
      <c r="O207" s="3">
        <f t="shared" si="80"/>
        <v>2.7697294536678401</v>
      </c>
      <c r="P207" s="3">
        <f t="shared" si="81"/>
        <v>0.94101797215357375</v>
      </c>
      <c r="Q207" s="3">
        <f t="shared" si="82"/>
        <v>1.9332053956707194</v>
      </c>
      <c r="R207" s="3">
        <f t="shared" si="83"/>
        <v>0.87360378441334829</v>
      </c>
      <c r="S207" s="3">
        <f t="shared" si="84"/>
        <v>1.5420278172147306</v>
      </c>
      <c r="T207" s="4">
        <f t="shared" si="85"/>
        <v>0.82375931683672066</v>
      </c>
      <c r="U207" s="1">
        <f t="shared" si="105"/>
        <v>1</v>
      </c>
      <c r="V207" s="3">
        <f t="shared" si="87"/>
        <v>0.17624068316327934</v>
      </c>
      <c r="W207" s="3">
        <f t="shared" si="106"/>
        <v>1.5530389200929707E-2</v>
      </c>
      <c r="X207" s="5" t="str">
        <f t="shared" si="101"/>
        <v>PASS</v>
      </c>
      <c r="Y207" s="3">
        <f t="shared" si="107"/>
        <v>2.5586605596732478E-2</v>
      </c>
      <c r="Z207" s="3">
        <f t="shared" si="108"/>
        <v>6.6623441253319806E-3</v>
      </c>
      <c r="AA207" s="3">
        <f t="shared" si="109"/>
        <v>1.3193997322788619E-2</v>
      </c>
      <c r="AB207" s="3">
        <f t="shared" si="110"/>
        <v>4.3428726024893862</v>
      </c>
      <c r="AC207" s="3">
        <f t="shared" si="111"/>
        <v>4.5370159095362244</v>
      </c>
      <c r="AD207" s="3">
        <f t="shared" si="112"/>
        <v>-1.7339747352417245</v>
      </c>
      <c r="AE207" s="3">
        <f t="shared" si="113"/>
        <v>-3.8946729695650286</v>
      </c>
      <c r="AF207" s="3">
        <f t="shared" si="114"/>
        <v>-3.6412588406336077</v>
      </c>
      <c r="AG207" s="3">
        <f t="shared" si="115"/>
        <v>5.6404342229182705</v>
      </c>
      <c r="AH207" s="3">
        <f t="shared" si="116"/>
        <v>4.7515321221823728</v>
      </c>
      <c r="AI207" s="3">
        <f t="shared" si="117"/>
        <v>4.7258626632038583</v>
      </c>
      <c r="AJ207" s="11">
        <f t="shared" si="118"/>
        <v>-6.888352809204985</v>
      </c>
    </row>
    <row r="208" spans="1:36" ht="18" customHeight="1" x14ac:dyDescent="0.25">
      <c r="A208" s="18">
        <f t="shared" si="104"/>
        <v>48</v>
      </c>
      <c r="B208" s="2">
        <v>191</v>
      </c>
      <c r="C208" s="2">
        <v>1</v>
      </c>
      <c r="D208" s="2">
        <v>0</v>
      </c>
      <c r="E208" s="2">
        <v>1</v>
      </c>
      <c r="F208" s="3">
        <f t="shared" si="119"/>
        <v>4.3428726024893862</v>
      </c>
      <c r="G208" s="3">
        <f t="shared" si="119"/>
        <v>4.5370159095362244</v>
      </c>
      <c r="H208" s="3">
        <f t="shared" si="119"/>
        <v>-1.7339747352417245</v>
      </c>
      <c r="I208" s="3">
        <f t="shared" si="119"/>
        <v>-3.8946729695650286</v>
      </c>
      <c r="J208" s="3">
        <f t="shared" si="119"/>
        <v>-3.6412588406336077</v>
      </c>
      <c r="K208" s="3">
        <f t="shared" si="119"/>
        <v>5.6404342229182705</v>
      </c>
      <c r="L208" s="3">
        <f t="shared" si="119"/>
        <v>4.7515321221823728</v>
      </c>
      <c r="M208" s="3">
        <f t="shared" si="119"/>
        <v>4.7258626632038583</v>
      </c>
      <c r="N208" s="3">
        <f t="shared" si="119"/>
        <v>-6.888352809204985</v>
      </c>
      <c r="O208" s="3">
        <f t="shared" si="80"/>
        <v>2.6088978672476619</v>
      </c>
      <c r="P208" s="3">
        <f t="shared" si="81"/>
        <v>0.93143204049156303</v>
      </c>
      <c r="Q208" s="3">
        <f t="shared" si="82"/>
        <v>1.7457612533532418</v>
      </c>
      <c r="R208" s="3">
        <f t="shared" si="83"/>
        <v>0.85141737416771457</v>
      </c>
      <c r="S208" s="3">
        <f t="shared" si="84"/>
        <v>1.5610580302028207</v>
      </c>
      <c r="T208" s="4">
        <f t="shared" si="85"/>
        <v>0.82650512100786466</v>
      </c>
      <c r="U208" s="1">
        <f t="shared" si="105"/>
        <v>1</v>
      </c>
      <c r="V208" s="3">
        <f t="shared" si="87"/>
        <v>0.17349487899213534</v>
      </c>
      <c r="W208" s="3">
        <f t="shared" si="106"/>
        <v>1.5050236518247842E-2</v>
      </c>
      <c r="X208" s="5" t="str">
        <f t="shared" si="101"/>
        <v>PASS</v>
      </c>
      <c r="Y208" s="3">
        <f t="shared" si="107"/>
        <v>2.4878195109422831E-2</v>
      </c>
      <c r="Z208" s="3">
        <f t="shared" si="108"/>
        <v>7.5496173125400075E-3</v>
      </c>
      <c r="AA208" s="3">
        <f t="shared" si="109"/>
        <v>1.4873408411149307E-2</v>
      </c>
      <c r="AB208" s="3">
        <f t="shared" si="110"/>
        <v>4.3617466457707366</v>
      </c>
      <c r="AC208" s="3">
        <f t="shared" si="111"/>
        <v>4.5370159095362244</v>
      </c>
      <c r="AD208" s="3">
        <f t="shared" si="112"/>
        <v>-1.7151006919603744</v>
      </c>
      <c r="AE208" s="3">
        <f t="shared" si="113"/>
        <v>-3.8574894485371551</v>
      </c>
      <c r="AF208" s="3">
        <f t="shared" si="114"/>
        <v>-3.6412588406336077</v>
      </c>
      <c r="AG208" s="3">
        <f t="shared" si="115"/>
        <v>5.6776177439461435</v>
      </c>
      <c r="AH208" s="3">
        <f t="shared" si="116"/>
        <v>4.8094629922686654</v>
      </c>
      <c r="AI208" s="3">
        <f t="shared" si="117"/>
        <v>4.7788169820891007</v>
      </c>
      <c r="AJ208" s="11">
        <f t="shared" si="118"/>
        <v>-6.8261573214314284</v>
      </c>
    </row>
    <row r="209" spans="1:36" ht="18" customHeight="1" x14ac:dyDescent="0.25">
      <c r="A209" s="18">
        <f t="shared" si="104"/>
        <v>48</v>
      </c>
      <c r="B209" s="2">
        <v>192</v>
      </c>
      <c r="C209" s="2">
        <v>1</v>
      </c>
      <c r="D209" s="2">
        <v>1</v>
      </c>
      <c r="E209" s="2">
        <v>0</v>
      </c>
      <c r="F209" s="3">
        <f t="shared" si="119"/>
        <v>4.3617466457707366</v>
      </c>
      <c r="G209" s="3">
        <f t="shared" si="119"/>
        <v>4.5370159095362244</v>
      </c>
      <c r="H209" s="3">
        <f t="shared" si="119"/>
        <v>-1.7151006919603744</v>
      </c>
      <c r="I209" s="3">
        <f t="shared" si="119"/>
        <v>-3.8574894485371551</v>
      </c>
      <c r="J209" s="3">
        <f t="shared" si="119"/>
        <v>-3.6412588406336077</v>
      </c>
      <c r="K209" s="3">
        <f t="shared" si="119"/>
        <v>5.6776177439461435</v>
      </c>
      <c r="L209" s="3">
        <f t="shared" si="119"/>
        <v>4.8094629922686654</v>
      </c>
      <c r="M209" s="3">
        <f t="shared" si="119"/>
        <v>4.7788169820891007</v>
      </c>
      <c r="N209" s="3">
        <f t="shared" si="119"/>
        <v>-6.8261573214314284</v>
      </c>
      <c r="O209" s="3">
        <f t="shared" si="80"/>
        <v>7.1836618633465861</v>
      </c>
      <c r="P209" s="3">
        <f t="shared" si="81"/>
        <v>0.99924169164887311</v>
      </c>
      <c r="Q209" s="3">
        <f t="shared" si="82"/>
        <v>-1.8211305452246194</v>
      </c>
      <c r="R209" s="3">
        <f t="shared" si="83"/>
        <v>0.13929827179254731</v>
      </c>
      <c r="S209" s="3">
        <f t="shared" si="84"/>
        <v>-1.3546604382963476</v>
      </c>
      <c r="T209" s="4">
        <f t="shared" si="85"/>
        <v>0.20510949154606803</v>
      </c>
      <c r="U209" s="1">
        <f t="shared" si="105"/>
        <v>0</v>
      </c>
      <c r="V209" s="3">
        <f t="shared" si="87"/>
        <v>-0.20510949154606803</v>
      </c>
      <c r="W209" s="3">
        <f t="shared" si="106"/>
        <v>2.1034951761143277E-2</v>
      </c>
      <c r="X209" s="5" t="str">
        <f t="shared" si="101"/>
        <v>PASS</v>
      </c>
      <c r="Y209" s="3">
        <f t="shared" si="107"/>
        <v>-3.344096700143822E-2</v>
      </c>
      <c r="Z209" s="3">
        <f t="shared" si="108"/>
        <v>-1.2186859362185747E-4</v>
      </c>
      <c r="AA209" s="3">
        <f t="shared" si="109"/>
        <v>-1.9160093717234421E-2</v>
      </c>
      <c r="AB209" s="3">
        <f t="shared" si="110"/>
        <v>4.3614419742866817</v>
      </c>
      <c r="AC209" s="3">
        <f t="shared" si="111"/>
        <v>4.5367112380521695</v>
      </c>
      <c r="AD209" s="3">
        <f t="shared" si="112"/>
        <v>-1.7154053634444291</v>
      </c>
      <c r="AE209" s="3">
        <f t="shared" si="113"/>
        <v>-3.9053896828302412</v>
      </c>
      <c r="AF209" s="3">
        <f t="shared" si="114"/>
        <v>-3.6891590749266938</v>
      </c>
      <c r="AG209" s="3">
        <f t="shared" si="115"/>
        <v>5.6297175096530578</v>
      </c>
      <c r="AH209" s="3">
        <f t="shared" si="116"/>
        <v>4.7259239711764369</v>
      </c>
      <c r="AI209" s="3">
        <f t="shared" si="117"/>
        <v>4.7671713098131709</v>
      </c>
      <c r="AJ209" s="11">
        <f t="shared" si="118"/>
        <v>-6.9097597389350236</v>
      </c>
    </row>
    <row r="210" spans="1:36" ht="18" customHeight="1" x14ac:dyDescent="0.25">
      <c r="A210" s="18">
        <f t="shared" si="104"/>
        <v>49</v>
      </c>
      <c r="B210" s="2">
        <v>193</v>
      </c>
      <c r="C210" s="2">
        <v>0</v>
      </c>
      <c r="D210" s="2">
        <v>0</v>
      </c>
      <c r="E210" s="2">
        <v>0</v>
      </c>
      <c r="F210" s="3">
        <f t="shared" si="119"/>
        <v>4.3614419742866817</v>
      </c>
      <c r="G210" s="3">
        <f t="shared" si="119"/>
        <v>4.5367112380521695</v>
      </c>
      <c r="H210" s="3">
        <f t="shared" si="119"/>
        <v>-1.7154053634444291</v>
      </c>
      <c r="I210" s="3">
        <f t="shared" si="119"/>
        <v>-3.9053896828302412</v>
      </c>
      <c r="J210" s="3">
        <f t="shared" si="119"/>
        <v>-3.6891590749266938</v>
      </c>
      <c r="K210" s="3">
        <f t="shared" si="119"/>
        <v>5.6297175096530578</v>
      </c>
      <c r="L210" s="3">
        <f t="shared" si="119"/>
        <v>4.7259239711764369</v>
      </c>
      <c r="M210" s="3">
        <f t="shared" si="119"/>
        <v>4.7671713098131709</v>
      </c>
      <c r="N210" s="3">
        <f t="shared" si="119"/>
        <v>-6.9097597389350236</v>
      </c>
      <c r="O210" s="3">
        <f t="shared" ref="O210:O217" si="120">F210*C210+G210*D210+H210</f>
        <v>-1.7154053634444291</v>
      </c>
      <c r="P210" s="3">
        <f t="shared" ref="P210:P217" si="121">1/(1+EXP(-O210))</f>
        <v>0.15246392895275127</v>
      </c>
      <c r="Q210" s="3">
        <f t="shared" ref="Q210:Q217" si="122">I210*C210+J210*D210+K210</f>
        <v>5.6297175096530578</v>
      </c>
      <c r="R210" s="3">
        <f t="shared" ref="R210:R217" si="123">1/(1+EXP(-Q210))</f>
        <v>0.99642324985530029</v>
      </c>
      <c r="S210" s="3">
        <f t="shared" ref="S210:S217" si="124">L210*P210+M210*R210+N210</f>
        <v>-1.4391064732164871</v>
      </c>
      <c r="T210" s="4">
        <f t="shared" ref="T210:T217" si="125">1/(1+EXP(-S210))</f>
        <v>0.19168375443920163</v>
      </c>
      <c r="U210" s="1">
        <f t="shared" ref="U210:U217" si="126">IF(T210&gt;=0.5, 1, 0)</f>
        <v>0</v>
      </c>
      <c r="V210" s="3">
        <f t="shared" ref="V210:V217" si="127">E210-T210</f>
        <v>-0.19168375443920163</v>
      </c>
      <c r="W210" s="3">
        <f t="shared" ref="W210:W217" si="128">0.5*(V210^2)</f>
        <v>1.8371330857954074E-2</v>
      </c>
      <c r="X210" s="5" t="str">
        <f t="shared" si="101"/>
        <v>PASS</v>
      </c>
      <c r="Y210" s="3">
        <f t="shared" ref="Y210:Y217" si="129">V210*T210*(1-T210)</f>
        <v>-2.9699690370113357E-2</v>
      </c>
      <c r="Z210" s="3">
        <f t="shared" ref="Z210:Z217" si="130">Y210*L210*P210*(1-P210)</f>
        <v>-1.8136937243521209E-2</v>
      </c>
      <c r="AA210" s="3">
        <f t="shared" ref="AA210:AA217" si="131">Y210*M210*R210*(1-R210)</f>
        <v>-5.0459754855571915E-4</v>
      </c>
      <c r="AB210" s="3">
        <f t="shared" ref="AB210:AB217" si="132">F210+$D$5*Z210*C210</f>
        <v>4.3614419742866817</v>
      </c>
      <c r="AC210" s="3">
        <f t="shared" ref="AC210:AC217" si="133">G210+$D$5*Z210*D210</f>
        <v>4.5367112380521695</v>
      </c>
      <c r="AD210" s="3">
        <f t="shared" ref="AD210:AD217" si="134">H210+$D$5*Z210</f>
        <v>-1.760747706553232</v>
      </c>
      <c r="AE210" s="3">
        <f t="shared" ref="AE210:AE217" si="135">I210+$D$5*AA210*C210</f>
        <v>-3.9053896828302412</v>
      </c>
      <c r="AF210" s="3">
        <f t="shared" ref="AF210:AF217" si="136">J210+$D$5*AA210*D210</f>
        <v>-3.6891590749266938</v>
      </c>
      <c r="AG210" s="3">
        <f t="shared" ref="AG210:AG217" si="137">K210+$D$5*AA210</f>
        <v>5.6284560157816683</v>
      </c>
      <c r="AH210" s="3">
        <f t="shared" ref="AH210:AH217" si="138">L210+$D$5*Y210*P210</f>
        <v>4.7146036424701681</v>
      </c>
      <c r="AI210" s="3">
        <f t="shared" ref="AI210:AI217" si="139">M210+$D$5*Y210*R210</f>
        <v>4.6931876548174598</v>
      </c>
      <c r="AJ210" s="11">
        <f t="shared" ref="AJ210:AJ217" si="140">N210+$D$5*Y210</f>
        <v>-6.9840089648603074</v>
      </c>
    </row>
    <row r="211" spans="1:36" ht="18" customHeight="1" x14ac:dyDescent="0.25">
      <c r="A211" s="18">
        <f t="shared" si="104"/>
        <v>49</v>
      </c>
      <c r="B211" s="2">
        <v>194</v>
      </c>
      <c r="C211" s="2">
        <v>0</v>
      </c>
      <c r="D211" s="2">
        <v>1</v>
      </c>
      <c r="E211" s="2">
        <v>1</v>
      </c>
      <c r="F211" s="3">
        <f t="shared" si="119"/>
        <v>4.3614419742866817</v>
      </c>
      <c r="G211" s="3">
        <f t="shared" si="119"/>
        <v>4.5367112380521695</v>
      </c>
      <c r="H211" s="3">
        <f t="shared" si="119"/>
        <v>-1.760747706553232</v>
      </c>
      <c r="I211" s="3">
        <f t="shared" si="119"/>
        <v>-3.9053896828302412</v>
      </c>
      <c r="J211" s="3">
        <f t="shared" si="119"/>
        <v>-3.6891590749266938</v>
      </c>
      <c r="K211" s="3">
        <f t="shared" si="119"/>
        <v>5.6284560157816683</v>
      </c>
      <c r="L211" s="3">
        <f t="shared" si="119"/>
        <v>4.7146036424701681</v>
      </c>
      <c r="M211" s="3">
        <f t="shared" si="119"/>
        <v>4.6931876548174598</v>
      </c>
      <c r="N211" s="3">
        <f t="shared" si="119"/>
        <v>-6.9840089648603074</v>
      </c>
      <c r="O211" s="3">
        <f t="shared" si="120"/>
        <v>2.7759635314989373</v>
      </c>
      <c r="P211" s="3">
        <f t="shared" si="121"/>
        <v>0.94136303329151372</v>
      </c>
      <c r="Q211" s="3">
        <f t="shared" si="122"/>
        <v>1.9392969408549745</v>
      </c>
      <c r="R211" s="3">
        <f t="shared" si="123"/>
        <v>0.87427488474399118</v>
      </c>
      <c r="S211" s="3">
        <f t="shared" si="124"/>
        <v>1.5572807167800855</v>
      </c>
      <c r="T211" s="4">
        <f t="shared" si="125"/>
        <v>0.82596280719609128</v>
      </c>
      <c r="U211" s="1">
        <f t="shared" si="126"/>
        <v>1</v>
      </c>
      <c r="V211" s="3">
        <f t="shared" si="127"/>
        <v>0.17403719280390872</v>
      </c>
      <c r="W211" s="3">
        <f t="shared" si="128"/>
        <v>1.5144472239532449E-2</v>
      </c>
      <c r="X211" s="5" t="str">
        <f t="shared" ref="X211:X217" si="141">IF(U211=E211, "PASS", "FAIL")</f>
        <v>PASS</v>
      </c>
      <c r="Y211" s="3">
        <f t="shared" si="129"/>
        <v>2.5017541608934993E-2</v>
      </c>
      <c r="Z211" s="3">
        <f t="shared" si="130"/>
        <v>6.5105616271367824E-3</v>
      </c>
      <c r="AA211" s="3">
        <f t="shared" si="131"/>
        <v>1.2905730606221643E-2</v>
      </c>
      <c r="AB211" s="3">
        <f t="shared" si="132"/>
        <v>4.3614419742866817</v>
      </c>
      <c r="AC211" s="3">
        <f t="shared" si="133"/>
        <v>4.5529876421200113</v>
      </c>
      <c r="AD211" s="3">
        <f t="shared" si="134"/>
        <v>-1.74447130248539</v>
      </c>
      <c r="AE211" s="3">
        <f t="shared" si="135"/>
        <v>-3.9053896828302412</v>
      </c>
      <c r="AF211" s="3">
        <f t="shared" si="136"/>
        <v>-3.6568947484111396</v>
      </c>
      <c r="AG211" s="3">
        <f t="shared" si="137"/>
        <v>5.6607203422972221</v>
      </c>
      <c r="AH211" s="3">
        <f t="shared" si="138"/>
        <v>4.773480114606377</v>
      </c>
      <c r="AI211" s="3">
        <f t="shared" si="139"/>
        <v>4.7478681755842835</v>
      </c>
      <c r="AJ211" s="11">
        <f t="shared" si="140"/>
        <v>-6.9214651108379703</v>
      </c>
    </row>
    <row r="212" spans="1:36" ht="18" customHeight="1" x14ac:dyDescent="0.25">
      <c r="A212" s="18">
        <f t="shared" si="104"/>
        <v>49</v>
      </c>
      <c r="B212" s="2">
        <v>195</v>
      </c>
      <c r="C212" s="2">
        <v>1</v>
      </c>
      <c r="D212" s="2">
        <v>0</v>
      </c>
      <c r="E212" s="2">
        <v>1</v>
      </c>
      <c r="F212" s="3">
        <f t="shared" si="119"/>
        <v>4.3614419742866817</v>
      </c>
      <c r="G212" s="3">
        <f t="shared" si="119"/>
        <v>4.5529876421200113</v>
      </c>
      <c r="H212" s="3">
        <f t="shared" si="119"/>
        <v>-1.74447130248539</v>
      </c>
      <c r="I212" s="3">
        <f t="shared" si="119"/>
        <v>-3.9053896828302412</v>
      </c>
      <c r="J212" s="3">
        <f t="shared" si="119"/>
        <v>-3.6568947484111396</v>
      </c>
      <c r="K212" s="3">
        <f t="shared" si="119"/>
        <v>5.6607203422972221</v>
      </c>
      <c r="L212" s="3">
        <f t="shared" si="119"/>
        <v>4.773480114606377</v>
      </c>
      <c r="M212" s="3">
        <f t="shared" si="119"/>
        <v>4.7478681755842835</v>
      </c>
      <c r="N212" s="3">
        <f t="shared" si="119"/>
        <v>-6.9214651108379703</v>
      </c>
      <c r="O212" s="3">
        <f t="shared" si="120"/>
        <v>2.6169706718012917</v>
      </c>
      <c r="P212" s="3">
        <f t="shared" si="121"/>
        <v>0.93194582916371982</v>
      </c>
      <c r="Q212" s="3">
        <f t="shared" si="122"/>
        <v>1.7553306594669809</v>
      </c>
      <c r="R212" s="3">
        <f t="shared" si="123"/>
        <v>0.85262389326588872</v>
      </c>
      <c r="S212" s="3">
        <f t="shared" si="124"/>
        <v>1.5753056211452803</v>
      </c>
      <c r="T212" s="4">
        <f t="shared" si="125"/>
        <v>0.8285386516436003</v>
      </c>
      <c r="U212" s="1">
        <f t="shared" si="126"/>
        <v>1</v>
      </c>
      <c r="V212" s="3">
        <f t="shared" si="127"/>
        <v>0.1714613483563997</v>
      </c>
      <c r="W212" s="3">
        <f t="shared" si="128"/>
        <v>1.4699496990097325E-2</v>
      </c>
      <c r="X212" s="5" t="str">
        <f t="shared" si="141"/>
        <v>PASS</v>
      </c>
      <c r="Y212" s="3">
        <f t="shared" si="129"/>
        <v>2.4358202832028795E-2</v>
      </c>
      <c r="Z212" s="3">
        <f t="shared" si="130"/>
        <v>7.3743844711779659E-3</v>
      </c>
      <c r="AA212" s="3">
        <f t="shared" si="131"/>
        <v>1.4532103192243332E-2</v>
      </c>
      <c r="AB212" s="3">
        <f t="shared" si="132"/>
        <v>4.3798779354646262</v>
      </c>
      <c r="AC212" s="3">
        <f t="shared" si="133"/>
        <v>4.5529876421200113</v>
      </c>
      <c r="AD212" s="3">
        <f t="shared" si="134"/>
        <v>-1.726035341307445</v>
      </c>
      <c r="AE212" s="3">
        <f t="shared" si="135"/>
        <v>-3.8690594248496328</v>
      </c>
      <c r="AF212" s="3">
        <f t="shared" si="136"/>
        <v>-3.6568947484111396</v>
      </c>
      <c r="AG212" s="3">
        <f t="shared" si="137"/>
        <v>5.6970506002778301</v>
      </c>
      <c r="AH212" s="3">
        <f t="shared" si="138"/>
        <v>4.8302314284444599</v>
      </c>
      <c r="AI212" s="3">
        <f t="shared" si="139"/>
        <v>4.7997891399132948</v>
      </c>
      <c r="AJ212" s="11">
        <f t="shared" si="140"/>
        <v>-6.8605696037578987</v>
      </c>
    </row>
    <row r="213" spans="1:36" ht="18" customHeight="1" x14ac:dyDescent="0.25">
      <c r="A213" s="18">
        <f t="shared" si="104"/>
        <v>49</v>
      </c>
      <c r="B213" s="2">
        <v>196</v>
      </c>
      <c r="C213" s="2">
        <v>1</v>
      </c>
      <c r="D213" s="2">
        <v>1</v>
      </c>
      <c r="E213" s="2">
        <v>0</v>
      </c>
      <c r="F213" s="3">
        <f t="shared" si="119"/>
        <v>4.3798779354646262</v>
      </c>
      <c r="G213" s="3">
        <f t="shared" si="119"/>
        <v>4.5529876421200113</v>
      </c>
      <c r="H213" s="3">
        <f t="shared" si="119"/>
        <v>-1.726035341307445</v>
      </c>
      <c r="I213" s="3">
        <f t="shared" si="119"/>
        <v>-3.8690594248496328</v>
      </c>
      <c r="J213" s="3">
        <f t="shared" si="119"/>
        <v>-3.6568947484111396</v>
      </c>
      <c r="K213" s="3">
        <f t="shared" si="119"/>
        <v>5.6970506002778301</v>
      </c>
      <c r="L213" s="3">
        <f t="shared" si="119"/>
        <v>4.8302314284444599</v>
      </c>
      <c r="M213" s="3">
        <f t="shared" si="119"/>
        <v>4.7997891399132948</v>
      </c>
      <c r="N213" s="3">
        <f t="shared" si="119"/>
        <v>-6.8605696037578987</v>
      </c>
      <c r="O213" s="3">
        <f t="shared" si="120"/>
        <v>7.2068302362771925</v>
      </c>
      <c r="P213" s="3">
        <f t="shared" si="121"/>
        <v>0.99925904559429601</v>
      </c>
      <c r="Q213" s="3">
        <f t="shared" si="122"/>
        <v>-1.8289035729829424</v>
      </c>
      <c r="R213" s="3">
        <f t="shared" si="123"/>
        <v>0.13836894064241825</v>
      </c>
      <c r="S213" s="3">
        <f t="shared" si="124"/>
        <v>-1.3697754179741279</v>
      </c>
      <c r="T213" s="4">
        <f t="shared" si="125"/>
        <v>0.20265613345940278</v>
      </c>
      <c r="U213" s="1">
        <f t="shared" si="126"/>
        <v>0</v>
      </c>
      <c r="V213" s="3">
        <f t="shared" si="127"/>
        <v>-0.20265613345940278</v>
      </c>
      <c r="W213" s="3">
        <f t="shared" si="128"/>
        <v>2.0534754214357635E-2</v>
      </c>
      <c r="X213" s="5" t="str">
        <f t="shared" si="141"/>
        <v>PASS</v>
      </c>
      <c r="Y213" s="3">
        <f t="shared" si="129"/>
        <v>-3.2746520647473479E-2</v>
      </c>
      <c r="Z213" s="3">
        <f t="shared" si="130"/>
        <v>-1.171123443933847E-4</v>
      </c>
      <c r="AA213" s="3">
        <f t="shared" si="131"/>
        <v>-1.8739037613038866E-2</v>
      </c>
      <c r="AB213" s="3">
        <f t="shared" si="132"/>
        <v>4.3795851546036424</v>
      </c>
      <c r="AC213" s="3">
        <f t="shared" si="133"/>
        <v>4.5526948612590274</v>
      </c>
      <c r="AD213" s="3">
        <f t="shared" si="134"/>
        <v>-1.7263281221684283</v>
      </c>
      <c r="AE213" s="3">
        <f t="shared" si="135"/>
        <v>-3.9159070188822298</v>
      </c>
      <c r="AF213" s="3">
        <f t="shared" si="136"/>
        <v>-3.7037423424437366</v>
      </c>
      <c r="AG213" s="3">
        <f t="shared" si="137"/>
        <v>5.6502030062452331</v>
      </c>
      <c r="AH213" s="3">
        <f t="shared" si="138"/>
        <v>4.7484257860226391</v>
      </c>
      <c r="AI213" s="3">
        <f t="shared" si="139"/>
        <v>4.7884613864840047</v>
      </c>
      <c r="AJ213" s="11">
        <f t="shared" si="140"/>
        <v>-6.9424359053765823</v>
      </c>
    </row>
    <row r="214" spans="1:36" ht="18" customHeight="1" x14ac:dyDescent="0.25">
      <c r="A214" s="18">
        <f t="shared" si="104"/>
        <v>50</v>
      </c>
      <c r="B214" s="2">
        <v>197</v>
      </c>
      <c r="C214" s="2">
        <v>0</v>
      </c>
      <c r="D214" s="2">
        <v>0</v>
      </c>
      <c r="E214" s="2">
        <v>0</v>
      </c>
      <c r="F214" s="3">
        <f t="shared" si="119"/>
        <v>4.3795851546036424</v>
      </c>
      <c r="G214" s="3">
        <f t="shared" si="119"/>
        <v>4.5526948612590274</v>
      </c>
      <c r="H214" s="3">
        <f t="shared" si="119"/>
        <v>-1.7263281221684283</v>
      </c>
      <c r="I214" s="3">
        <f t="shared" si="119"/>
        <v>-3.9159070188822298</v>
      </c>
      <c r="J214" s="3">
        <f t="shared" si="119"/>
        <v>-3.7037423424437366</v>
      </c>
      <c r="K214" s="3">
        <f t="shared" si="119"/>
        <v>5.6502030062452331</v>
      </c>
      <c r="L214" s="3">
        <f t="shared" si="119"/>
        <v>4.7484257860226391</v>
      </c>
      <c r="M214" s="3">
        <f t="shared" si="119"/>
        <v>4.7884613864840047</v>
      </c>
      <c r="N214" s="3">
        <f t="shared" si="119"/>
        <v>-6.9424359053765823</v>
      </c>
      <c r="O214" s="3">
        <f t="shared" si="120"/>
        <v>-1.7263281221684283</v>
      </c>
      <c r="P214" s="3">
        <f t="shared" si="121"/>
        <v>0.15105785600230698</v>
      </c>
      <c r="Q214" s="3">
        <f t="shared" si="122"/>
        <v>5.6502030062452331</v>
      </c>
      <c r="R214" s="3">
        <f t="shared" si="123"/>
        <v>0.99649552178916223</v>
      </c>
      <c r="S214" s="3">
        <f t="shared" si="124"/>
        <v>-1.4534685588622995</v>
      </c>
      <c r="T214" s="4">
        <f t="shared" si="125"/>
        <v>0.18946832533917332</v>
      </c>
      <c r="U214" s="1">
        <f t="shared" si="126"/>
        <v>0</v>
      </c>
      <c r="V214" s="3">
        <f t="shared" si="127"/>
        <v>-0.18946832533917332</v>
      </c>
      <c r="W214" s="3">
        <f t="shared" si="128"/>
        <v>1.7949123153415413E-2</v>
      </c>
      <c r="X214" s="5" t="str">
        <f t="shared" si="141"/>
        <v>PASS</v>
      </c>
      <c r="Y214" s="3">
        <f t="shared" si="129"/>
        <v>-2.9096665696462427E-2</v>
      </c>
      <c r="Z214" s="3">
        <f t="shared" si="130"/>
        <v>-1.7717983347307648E-2</v>
      </c>
      <c r="AA214" s="3">
        <f t="shared" si="131"/>
        <v>-4.8656171032456386E-4</v>
      </c>
      <c r="AB214" s="3">
        <f t="shared" si="132"/>
        <v>4.3795851546036424</v>
      </c>
      <c r="AC214" s="3">
        <f t="shared" si="133"/>
        <v>4.5526948612590274</v>
      </c>
      <c r="AD214" s="3">
        <f t="shared" si="134"/>
        <v>-1.7706230805366974</v>
      </c>
      <c r="AE214" s="3">
        <f t="shared" si="135"/>
        <v>-3.9159070188822298</v>
      </c>
      <c r="AF214" s="3">
        <f t="shared" si="136"/>
        <v>-3.7037423424437366</v>
      </c>
      <c r="AG214" s="3">
        <f t="shared" si="137"/>
        <v>5.6489866019694217</v>
      </c>
      <c r="AH214" s="3">
        <f t="shared" si="138"/>
        <v>4.73743758618033</v>
      </c>
      <c r="AI214" s="3">
        <f t="shared" si="139"/>
        <v>4.7159746438202017</v>
      </c>
      <c r="AJ214" s="11">
        <f t="shared" si="140"/>
        <v>-7.0151775696177383</v>
      </c>
    </row>
    <row r="215" spans="1:36" ht="18" customHeight="1" x14ac:dyDescent="0.25">
      <c r="A215" s="18">
        <f t="shared" si="104"/>
        <v>50</v>
      </c>
      <c r="B215" s="2">
        <v>198</v>
      </c>
      <c r="C215" s="2">
        <v>0</v>
      </c>
      <c r="D215" s="2">
        <v>1</v>
      </c>
      <c r="E215" s="2">
        <v>1</v>
      </c>
      <c r="F215" s="3">
        <f t="shared" si="119"/>
        <v>4.3795851546036424</v>
      </c>
      <c r="G215" s="3">
        <f t="shared" si="119"/>
        <v>4.5526948612590274</v>
      </c>
      <c r="H215" s="3">
        <f t="shared" si="119"/>
        <v>-1.7706230805366974</v>
      </c>
      <c r="I215" s="3">
        <f t="shared" si="119"/>
        <v>-3.9159070188822298</v>
      </c>
      <c r="J215" s="3">
        <f t="shared" si="119"/>
        <v>-3.7037423424437366</v>
      </c>
      <c r="K215" s="3">
        <f t="shared" si="119"/>
        <v>5.6489866019694217</v>
      </c>
      <c r="L215" s="3">
        <f t="shared" si="119"/>
        <v>4.73743758618033</v>
      </c>
      <c r="M215" s="3">
        <f t="shared" si="119"/>
        <v>4.7159746438202017</v>
      </c>
      <c r="N215" s="3">
        <f t="shared" si="119"/>
        <v>-7.0151775696177383</v>
      </c>
      <c r="O215" s="3">
        <f t="shared" si="120"/>
        <v>2.7820717807223301</v>
      </c>
      <c r="P215" s="3">
        <f t="shared" si="121"/>
        <v>0.94169929295547838</v>
      </c>
      <c r="Q215" s="3">
        <f t="shared" si="122"/>
        <v>1.9452442595256851</v>
      </c>
      <c r="R215" s="3">
        <f t="shared" si="123"/>
        <v>0.87492715014415523</v>
      </c>
      <c r="S215" s="3">
        <f t="shared" si="124"/>
        <v>1.5721983109786928</v>
      </c>
      <c r="T215" s="4">
        <f t="shared" si="125"/>
        <v>0.82809676909580687</v>
      </c>
      <c r="U215" s="1">
        <f t="shared" si="126"/>
        <v>1</v>
      </c>
      <c r="V215" s="3">
        <f t="shared" si="127"/>
        <v>0.17190323090419313</v>
      </c>
      <c r="W215" s="3">
        <f t="shared" si="128"/>
        <v>1.4775360397650169E-2</v>
      </c>
      <c r="X215" s="5" t="str">
        <f t="shared" si="141"/>
        <v>PASS</v>
      </c>
      <c r="Y215" s="3">
        <f t="shared" si="129"/>
        <v>2.4470856415040484E-2</v>
      </c>
      <c r="Z215" s="3">
        <f t="shared" si="130"/>
        <v>6.3647116975873727E-3</v>
      </c>
      <c r="AA215" s="3">
        <f t="shared" si="131"/>
        <v>1.2628610516514848E-2</v>
      </c>
      <c r="AB215" s="3">
        <f t="shared" si="132"/>
        <v>4.3795851546036424</v>
      </c>
      <c r="AC215" s="3">
        <f t="shared" si="133"/>
        <v>4.5686066405029955</v>
      </c>
      <c r="AD215" s="3">
        <f t="shared" si="134"/>
        <v>-1.7547113012927289</v>
      </c>
      <c r="AE215" s="3">
        <f t="shared" si="135"/>
        <v>-3.9159070188822298</v>
      </c>
      <c r="AF215" s="3">
        <f t="shared" si="136"/>
        <v>-3.6721708161524496</v>
      </c>
      <c r="AG215" s="3">
        <f t="shared" si="137"/>
        <v>5.6805581282607092</v>
      </c>
      <c r="AH215" s="3">
        <f t="shared" si="138"/>
        <v>4.7950480566404767</v>
      </c>
      <c r="AI215" s="3">
        <f t="shared" si="139"/>
        <v>4.7695001854821975</v>
      </c>
      <c r="AJ215" s="11">
        <f t="shared" si="140"/>
        <v>-6.9540004285801373</v>
      </c>
    </row>
    <row r="216" spans="1:36" ht="18" customHeight="1" x14ac:dyDescent="0.25">
      <c r="A216" s="18">
        <f t="shared" si="104"/>
        <v>50</v>
      </c>
      <c r="B216" s="2">
        <v>199</v>
      </c>
      <c r="C216" s="2">
        <v>1</v>
      </c>
      <c r="D216" s="2">
        <v>0</v>
      </c>
      <c r="E216" s="2">
        <v>1</v>
      </c>
      <c r="F216" s="3">
        <f t="shared" si="119"/>
        <v>4.3795851546036424</v>
      </c>
      <c r="G216" s="3">
        <f t="shared" si="119"/>
        <v>4.5686066405029955</v>
      </c>
      <c r="H216" s="3">
        <f t="shared" si="119"/>
        <v>-1.7547113012927289</v>
      </c>
      <c r="I216" s="3">
        <f t="shared" si="119"/>
        <v>-3.9159070188822298</v>
      </c>
      <c r="J216" s="3">
        <f t="shared" si="119"/>
        <v>-3.6721708161524496</v>
      </c>
      <c r="K216" s="3">
        <f t="shared" si="119"/>
        <v>5.6805581282607092</v>
      </c>
      <c r="L216" s="3">
        <f t="shared" si="119"/>
        <v>4.7950480566404767</v>
      </c>
      <c r="M216" s="3">
        <f t="shared" si="119"/>
        <v>4.7695001854821975</v>
      </c>
      <c r="N216" s="3">
        <f t="shared" si="119"/>
        <v>-6.9540004285801373</v>
      </c>
      <c r="O216" s="3">
        <f t="shared" si="120"/>
        <v>2.6248738533109135</v>
      </c>
      <c r="P216" s="3">
        <f t="shared" si="121"/>
        <v>0.93244536318674676</v>
      </c>
      <c r="Q216" s="3">
        <f t="shared" si="122"/>
        <v>1.7646511093784794</v>
      </c>
      <c r="R216" s="3">
        <f t="shared" si="123"/>
        <v>0.85379122234412408</v>
      </c>
      <c r="S216" s="3">
        <f t="shared" si="124"/>
        <v>1.5892772914252689</v>
      </c>
      <c r="T216" s="4">
        <f t="shared" si="125"/>
        <v>0.83051439873726063</v>
      </c>
      <c r="U216" s="1">
        <f t="shared" si="126"/>
        <v>1</v>
      </c>
      <c r="V216" s="3">
        <f t="shared" si="127"/>
        <v>0.16948560126273937</v>
      </c>
      <c r="W216" s="3">
        <f t="shared" si="128"/>
        <v>1.436268451769614E-2</v>
      </c>
      <c r="X216" s="5" t="str">
        <f t="shared" si="141"/>
        <v>PASS</v>
      </c>
      <c r="Y216" s="3">
        <f t="shared" si="129"/>
        <v>2.3856832592934748E-2</v>
      </c>
      <c r="Z216" s="3">
        <f t="shared" si="130"/>
        <v>7.20583484904469E-3</v>
      </c>
      <c r="AA216" s="3">
        <f t="shared" si="131"/>
        <v>1.420400396880624E-2</v>
      </c>
      <c r="AB216" s="3">
        <f t="shared" si="132"/>
        <v>4.3975997417262542</v>
      </c>
      <c r="AC216" s="3">
        <f t="shared" si="133"/>
        <v>4.5686066405029955</v>
      </c>
      <c r="AD216" s="3">
        <f t="shared" si="134"/>
        <v>-1.7366967141701171</v>
      </c>
      <c r="AE216" s="3">
        <f t="shared" si="135"/>
        <v>-3.8803970089602142</v>
      </c>
      <c r="AF216" s="3">
        <f t="shared" si="136"/>
        <v>-3.6721708161524496</v>
      </c>
      <c r="AG216" s="3">
        <f t="shared" si="137"/>
        <v>5.7160681381827247</v>
      </c>
      <c r="AH216" s="3">
        <f t="shared" si="138"/>
        <v>4.8506610389694877</v>
      </c>
      <c r="AI216" s="3">
        <f t="shared" si="139"/>
        <v>4.8204220711341499</v>
      </c>
      <c r="AJ216" s="11">
        <f t="shared" si="140"/>
        <v>-6.8943583470978007</v>
      </c>
    </row>
    <row r="217" spans="1:36" ht="18" customHeight="1" thickBot="1" x14ac:dyDescent="0.3">
      <c r="A217" s="19">
        <f t="shared" si="104"/>
        <v>50</v>
      </c>
      <c r="B217" s="20">
        <v>200</v>
      </c>
      <c r="C217" s="20">
        <v>1</v>
      </c>
      <c r="D217" s="20">
        <v>1</v>
      </c>
      <c r="E217" s="20">
        <v>0</v>
      </c>
      <c r="F217" s="12">
        <f t="shared" si="119"/>
        <v>4.3975997417262542</v>
      </c>
      <c r="G217" s="12">
        <f t="shared" si="119"/>
        <v>4.5686066405029955</v>
      </c>
      <c r="H217" s="12">
        <f t="shared" si="119"/>
        <v>-1.7366967141701171</v>
      </c>
      <c r="I217" s="12">
        <f t="shared" si="119"/>
        <v>-3.8803970089602142</v>
      </c>
      <c r="J217" s="12">
        <f t="shared" si="119"/>
        <v>-3.6721708161524496</v>
      </c>
      <c r="K217" s="12">
        <f t="shared" si="119"/>
        <v>5.7160681381827247</v>
      </c>
      <c r="L217" s="12">
        <f t="shared" si="119"/>
        <v>4.8506610389694877</v>
      </c>
      <c r="M217" s="12">
        <f t="shared" si="119"/>
        <v>4.8204220711341499</v>
      </c>
      <c r="N217" s="12">
        <f t="shared" si="119"/>
        <v>-6.8943583470978007</v>
      </c>
      <c r="O217" s="12">
        <f t="shared" si="120"/>
        <v>7.2295096680591318</v>
      </c>
      <c r="P217" s="12">
        <f t="shared" si="121"/>
        <v>0.99927564885892517</v>
      </c>
      <c r="Q217" s="12">
        <f t="shared" si="122"/>
        <v>-1.8364996869299395</v>
      </c>
      <c r="R217" s="12">
        <f t="shared" si="123"/>
        <v>0.13746579460122615</v>
      </c>
      <c r="S217" s="12">
        <f t="shared" si="124"/>
        <v>-1.3845677396651128</v>
      </c>
      <c r="T217" s="13">
        <f t="shared" si="125"/>
        <v>0.20027640253686146</v>
      </c>
      <c r="U217" s="14">
        <f t="shared" si="126"/>
        <v>0</v>
      </c>
      <c r="V217" s="12">
        <f t="shared" si="127"/>
        <v>-0.20027640253686146</v>
      </c>
      <c r="W217" s="12">
        <f t="shared" si="128"/>
        <v>2.0055318706553485E-2</v>
      </c>
      <c r="X217" s="15" t="str">
        <f t="shared" si="141"/>
        <v>PASS</v>
      </c>
      <c r="Y217" s="12">
        <f t="shared" si="129"/>
        <v>-3.207742324854946E-2</v>
      </c>
      <c r="Z217" s="12">
        <f t="shared" si="130"/>
        <v>-1.1262501320269664E-4</v>
      </c>
      <c r="AA217" s="12">
        <f t="shared" si="131"/>
        <v>-1.8333927702240366E-2</v>
      </c>
      <c r="AB217" s="12">
        <f t="shared" si="132"/>
        <v>4.3973181791932472</v>
      </c>
      <c r="AC217" s="12">
        <f t="shared" si="133"/>
        <v>4.5683250779699884</v>
      </c>
      <c r="AD217" s="12">
        <f t="shared" si="134"/>
        <v>-1.7369782767031239</v>
      </c>
      <c r="AE217" s="12">
        <f t="shared" si="135"/>
        <v>-3.9262318282158151</v>
      </c>
      <c r="AF217" s="12">
        <f t="shared" si="136"/>
        <v>-3.7180056354080504</v>
      </c>
      <c r="AG217" s="12">
        <f t="shared" si="137"/>
        <v>5.6702333189271235</v>
      </c>
      <c r="AH217" s="12">
        <f t="shared" si="138"/>
        <v>4.7705255691434463</v>
      </c>
      <c r="AI217" s="12">
        <f t="shared" si="139"/>
        <v>4.8093981999450959</v>
      </c>
      <c r="AJ217" s="16">
        <f t="shared" si="140"/>
        <v>-6.9745519052191742</v>
      </c>
    </row>
  </sheetData>
  <mergeCells count="14">
    <mergeCell ref="A16:H16"/>
    <mergeCell ref="E4:H4"/>
    <mergeCell ref="E5:H5"/>
    <mergeCell ref="E6:H6"/>
    <mergeCell ref="A1:N1"/>
    <mergeCell ref="A3:H3"/>
    <mergeCell ref="E13:H13"/>
    <mergeCell ref="E14:H14"/>
    <mergeCell ref="E7:H7"/>
    <mergeCell ref="E8:H8"/>
    <mergeCell ref="E9:H9"/>
    <mergeCell ref="E10:H10"/>
    <mergeCell ref="E11:H11"/>
    <mergeCell ref="E12:H12"/>
  </mergeCells>
  <conditionalFormatting sqref="A18:AJ217">
    <cfRule type="expression" dxfId="0" priority="1">
      <formula>ISEVEN(CEILING(ROW()-17, 4)/4)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yogeshc@nuv.ac.in</dc:creator>
  <cp:lastModifiedBy>Yogesh Chaudhari</cp:lastModifiedBy>
  <dcterms:created xsi:type="dcterms:W3CDTF">2026-09-03T18:41:13Z</dcterms:created>
  <dcterms:modified xsi:type="dcterms:W3CDTF">2026-09-10T06:06:44Z</dcterms:modified>
</cp:coreProperties>
</file>